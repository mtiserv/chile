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ropbox\Humboldt Sta. Juana\"/>
    </mc:Choice>
  </mc:AlternateContent>
  <bookViews>
    <workbookView minimized="1" xWindow="3735" yWindow="30" windowWidth="8295" windowHeight="5685" firstSheet="1" activeTab="2"/>
  </bookViews>
  <sheets>
    <sheet name="HATCT" sheetId="1" r:id="rId1"/>
    <sheet name="Fry" sheetId="2" r:id="rId2"/>
    <sheet name="smolt" sheetId="3" r:id="rId3"/>
    <sheet name="plan" sheetId="5" r:id="rId4"/>
    <sheet name="equipos ex" sheetId="4" r:id="rId5"/>
    <sheet name="control servicio" sheetId="7" r:id="rId6"/>
    <sheet name="luces fry" sheetId="12" r:id="rId7"/>
    <sheet name="Equipos " sheetId="13" r:id="rId8"/>
    <sheet name="alimentadores " sheetId="14" r:id="rId9"/>
    <sheet name="focos led" sheetId="15" r:id="rId10"/>
    <sheet name="Hoja1" sheetId="16" r:id="rId11"/>
    <sheet name="Hoja2" sheetId="17" r:id="rId12"/>
    <sheet name="Hoja3" sheetId="18" r:id="rId13"/>
    <sheet name="Hoja4" sheetId="19" r:id="rId14"/>
    <sheet name="Hoja5" sheetId="20" r:id="rId15"/>
  </sheets>
  <definedNames>
    <definedName name="_xlnm._FilterDatabase" localSheetId="4" hidden="1">'equipos ex'!$A$1:$C$27</definedName>
    <definedName name="_xlnm._FilterDatabase" localSheetId="1" hidden="1">Fry!$L$1:$L$62</definedName>
    <definedName name="_xlnm._FilterDatabase" localSheetId="0" hidden="1">HATCT!$A$1:$J$23</definedName>
    <definedName name="_xlnm._FilterDatabase" localSheetId="3" hidden="1">plan!$D$3:$D$23</definedName>
    <definedName name="_xlnm._FilterDatabase" localSheetId="2" hidden="1">smolt!$A$1:$J$68</definedName>
  </definedNames>
  <calcPr calcId="171027"/>
</workbook>
</file>

<file path=xl/calcChain.xml><?xml version="1.0" encoding="utf-8"?>
<calcChain xmlns="http://schemas.openxmlformats.org/spreadsheetml/2006/main">
  <c r="D8" i="18" l="1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D19" i="18" s="1"/>
  <c r="D20" i="18" s="1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D38" i="18" s="1"/>
  <c r="D39" i="18" s="1"/>
  <c r="D40" i="18" s="1"/>
  <c r="D41" i="18" s="1"/>
  <c r="D42" i="18" s="1"/>
  <c r="D43" i="18" s="1"/>
  <c r="D44" i="18" s="1"/>
  <c r="D45" i="18" s="1"/>
  <c r="D46" i="18" s="1"/>
  <c r="D47" i="18" s="1"/>
  <c r="D48" i="18" s="1"/>
  <c r="D49" i="18" s="1"/>
  <c r="D50" i="18" s="1"/>
  <c r="D51" i="18" s="1"/>
  <c r="D52" i="18" s="1"/>
  <c r="D53" i="18" s="1"/>
  <c r="D54" i="18" s="1"/>
  <c r="D55" i="18" s="1"/>
  <c r="D56" i="18" s="1"/>
  <c r="D57" i="18" s="1"/>
  <c r="D58" i="18" s="1"/>
  <c r="D59" i="18" s="1"/>
  <c r="D60" i="18" s="1"/>
  <c r="D61" i="18" s="1"/>
  <c r="D62" i="18" s="1"/>
  <c r="D63" i="18" s="1"/>
  <c r="D64" i="18" s="1"/>
  <c r="D65" i="18" s="1"/>
  <c r="D66" i="18" s="1"/>
  <c r="D67" i="18" s="1"/>
  <c r="E21" i="2" l="1"/>
  <c r="E25" i="4"/>
  <c r="S39" i="12"/>
  <c r="S23" i="12"/>
  <c r="S17" i="12"/>
  <c r="S12" i="12"/>
  <c r="N54" i="12"/>
  <c r="O54" i="12" s="1"/>
  <c r="N53" i="12"/>
  <c r="O53" i="12" s="1"/>
  <c r="N52" i="12"/>
  <c r="O52" i="12" s="1"/>
  <c r="N51" i="12"/>
  <c r="O51" i="12" s="1"/>
  <c r="N50" i="12"/>
  <c r="O50" i="12" s="1"/>
  <c r="N49" i="12"/>
  <c r="O49" i="12" s="1"/>
  <c r="N48" i="12"/>
  <c r="O48" i="12" s="1"/>
  <c r="N47" i="12"/>
  <c r="O47" i="12" s="1"/>
  <c r="N46" i="12"/>
  <c r="O46" i="12" s="1"/>
  <c r="O45" i="12"/>
  <c r="N45" i="12"/>
  <c r="N44" i="12"/>
  <c r="O44" i="12" s="1"/>
  <c r="N43" i="12"/>
  <c r="O43" i="12" s="1"/>
  <c r="N42" i="12"/>
  <c r="O42" i="12" s="1"/>
  <c r="N41" i="12"/>
  <c r="O41" i="12" s="1"/>
  <c r="O40" i="12"/>
  <c r="N39" i="12"/>
  <c r="O39" i="12" s="1"/>
  <c r="N38" i="12"/>
  <c r="O38" i="12" s="1"/>
  <c r="N37" i="12"/>
  <c r="O37" i="12" s="1"/>
  <c r="N36" i="12"/>
  <c r="O36" i="12" s="1"/>
  <c r="N35" i="12"/>
  <c r="O35" i="12" s="1"/>
  <c r="N34" i="12"/>
  <c r="O34" i="12" s="1"/>
  <c r="N33" i="12"/>
  <c r="O33" i="12" s="1"/>
  <c r="N32" i="12"/>
  <c r="O32" i="12" s="1"/>
  <c r="N31" i="12"/>
  <c r="O31" i="12" s="1"/>
  <c r="N30" i="12"/>
  <c r="O30" i="12" s="1"/>
  <c r="N29" i="12"/>
  <c r="O29" i="12" s="1"/>
  <c r="N28" i="12"/>
  <c r="O28" i="12" s="1"/>
  <c r="N27" i="12"/>
  <c r="O27" i="12" s="1"/>
  <c r="N26" i="12"/>
  <c r="O26" i="12" s="1"/>
  <c r="O25" i="12"/>
  <c r="N24" i="12"/>
  <c r="O24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S10" i="12"/>
  <c r="N10" i="12"/>
  <c r="O10" i="12" s="1"/>
  <c r="N9" i="12"/>
  <c r="O9" i="12" s="1"/>
  <c r="N8" i="12"/>
  <c r="O8" i="12" s="1"/>
  <c r="N7" i="12"/>
  <c r="O7" i="12" s="1"/>
  <c r="N6" i="12"/>
  <c r="O6" i="12" s="1"/>
  <c r="E24" i="4"/>
  <c r="E21" i="4"/>
  <c r="E22" i="4"/>
  <c r="J32" i="3" l="1"/>
  <c r="J33" i="3"/>
  <c r="J34" i="3"/>
  <c r="J35" i="3"/>
  <c r="J36" i="3"/>
  <c r="J37" i="3"/>
  <c r="J29" i="3"/>
  <c r="J14" i="3"/>
  <c r="J15" i="3"/>
  <c r="E55" i="2"/>
  <c r="J21" i="2"/>
  <c r="J23" i="2"/>
  <c r="J22" i="2"/>
  <c r="J47" i="3"/>
  <c r="J46" i="3"/>
  <c r="J16" i="2"/>
  <c r="J18" i="3"/>
  <c r="J19" i="3"/>
  <c r="J20" i="3"/>
  <c r="J21" i="3"/>
  <c r="J22" i="3"/>
  <c r="J23" i="3"/>
  <c r="J16" i="3"/>
  <c r="J27" i="3"/>
  <c r="J40" i="3"/>
  <c r="J41" i="3"/>
  <c r="J42" i="3"/>
  <c r="J43" i="3"/>
  <c r="J44" i="3"/>
  <c r="J45" i="3"/>
  <c r="J4" i="2"/>
  <c r="J5" i="2"/>
  <c r="J6" i="2"/>
  <c r="J13" i="3"/>
  <c r="J12" i="3"/>
  <c r="J6" i="3"/>
  <c r="J7" i="3"/>
  <c r="J4" i="3"/>
  <c r="J9" i="3"/>
  <c r="J10" i="3"/>
  <c r="J8" i="2"/>
  <c r="J9" i="2"/>
  <c r="J8" i="3"/>
  <c r="J5" i="3"/>
  <c r="J7" i="2"/>
  <c r="J10" i="2"/>
  <c r="J11" i="2"/>
  <c r="J12" i="2"/>
  <c r="J13" i="2"/>
  <c r="J66" i="3"/>
  <c r="J65" i="3"/>
  <c r="J19" i="4"/>
  <c r="E69" i="3"/>
  <c r="E71" i="3"/>
  <c r="J59" i="3"/>
  <c r="J60" i="3"/>
  <c r="J61" i="3"/>
  <c r="J62" i="3"/>
  <c r="E17" i="4"/>
  <c r="J9" i="4"/>
  <c r="E10" i="1"/>
  <c r="J52" i="3"/>
  <c r="J53" i="3"/>
  <c r="J22" i="1"/>
  <c r="J7" i="4"/>
  <c r="J39" i="3"/>
  <c r="J38" i="3"/>
  <c r="J28" i="3"/>
  <c r="J30" i="3"/>
  <c r="J31" i="3"/>
  <c r="J25" i="3"/>
  <c r="J26" i="3"/>
  <c r="J24" i="3"/>
  <c r="J8" i="4"/>
  <c r="J6" i="4"/>
  <c r="E31" i="2"/>
  <c r="E32" i="2"/>
  <c r="E33" i="2"/>
  <c r="E34" i="2"/>
  <c r="E22" i="1"/>
  <c r="E77" i="3"/>
  <c r="E21" i="1"/>
  <c r="J20" i="1"/>
  <c r="J17" i="3"/>
  <c r="J50" i="3"/>
  <c r="J51" i="3"/>
  <c r="J54" i="3"/>
  <c r="J55" i="3"/>
  <c r="J56" i="3"/>
  <c r="E76" i="3"/>
  <c r="J15" i="2"/>
  <c r="J14" i="2"/>
  <c r="J35" i="2"/>
  <c r="E54" i="2"/>
  <c r="E73" i="3"/>
  <c r="E74" i="3"/>
  <c r="E75" i="3"/>
  <c r="E72" i="3"/>
  <c r="E48" i="3"/>
  <c r="E40" i="2" l="1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39" i="2"/>
  <c r="E18" i="1" l="1"/>
  <c r="E13" i="1"/>
  <c r="E14" i="1"/>
  <c r="E15" i="1"/>
  <c r="E16" i="1"/>
  <c r="E17" i="1"/>
  <c r="E19" i="1"/>
  <c r="E20" i="1"/>
  <c r="E12" i="1"/>
  <c r="E9" i="1"/>
  <c r="E19" i="2"/>
  <c r="E20" i="2"/>
  <c r="E4" i="4"/>
  <c r="E20" i="4"/>
  <c r="E19" i="4"/>
  <c r="E16" i="4"/>
  <c r="E15" i="4"/>
  <c r="E14" i="4"/>
  <c r="E13" i="4"/>
  <c r="E12" i="4"/>
  <c r="E11" i="4"/>
  <c r="E10" i="4"/>
  <c r="E9" i="4"/>
  <c r="E8" i="4"/>
  <c r="E7" i="4"/>
  <c r="E6" i="4"/>
  <c r="E5" i="4"/>
  <c r="E51" i="3"/>
  <c r="E52" i="3"/>
  <c r="E53" i="3"/>
  <c r="E54" i="3"/>
  <c r="E55" i="3"/>
  <c r="E56" i="3"/>
  <c r="E59" i="3"/>
  <c r="E60" i="3"/>
  <c r="E61" i="3"/>
  <c r="E62" i="3"/>
  <c r="E63" i="3"/>
  <c r="E64" i="3"/>
  <c r="E65" i="3"/>
  <c r="E66" i="3"/>
  <c r="E67" i="3"/>
  <c r="E68" i="3"/>
  <c r="E46" i="3"/>
  <c r="E47" i="3"/>
  <c r="E49" i="3"/>
  <c r="E50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8" i="3"/>
  <c r="E9" i="3"/>
  <c r="E10" i="3"/>
  <c r="E11" i="3"/>
  <c r="E12" i="3"/>
  <c r="E13" i="3"/>
  <c r="E14" i="3"/>
  <c r="E15" i="3"/>
  <c r="E16" i="3"/>
  <c r="E17" i="3"/>
  <c r="E18" i="3"/>
  <c r="E19" i="3"/>
  <c r="E22" i="2"/>
  <c r="E24" i="2"/>
  <c r="E25" i="2"/>
  <c r="E26" i="2"/>
  <c r="E27" i="2"/>
  <c r="E28" i="2"/>
  <c r="E29" i="2"/>
  <c r="E30" i="2"/>
  <c r="E35" i="2"/>
  <c r="E36" i="2"/>
  <c r="E37" i="2"/>
  <c r="E38" i="2"/>
  <c r="E8" i="2"/>
  <c r="E9" i="2"/>
  <c r="E10" i="2"/>
  <c r="E11" i="2"/>
  <c r="E12" i="2"/>
  <c r="E13" i="2"/>
  <c r="E14" i="2"/>
  <c r="E15" i="2"/>
  <c r="E16" i="2"/>
  <c r="E17" i="2"/>
  <c r="E18" i="2"/>
  <c r="E7" i="3"/>
  <c r="E6" i="3"/>
  <c r="E5" i="3"/>
  <c r="E4" i="3"/>
  <c r="E7" i="2"/>
  <c r="E6" i="2"/>
  <c r="E5" i="2"/>
  <c r="E4" i="2"/>
  <c r="E11" i="1"/>
  <c r="E8" i="1"/>
  <c r="E7" i="1"/>
  <c r="E6" i="1"/>
  <c r="E5" i="1"/>
  <c r="E4" i="1"/>
</calcChain>
</file>

<file path=xl/comments1.xml><?xml version="1.0" encoding="utf-8"?>
<comments xmlns="http://schemas.openxmlformats.org/spreadsheetml/2006/main">
  <authors>
    <author>cgonzalez</author>
  </authors>
  <commentList>
    <comment ref="S14" authorId="0" shapeId="0">
      <text>
        <r>
          <rPr>
            <b/>
            <sz val="8"/>
            <color indexed="81"/>
            <rFont val="Tahoma"/>
            <family val="2"/>
          </rPr>
          <t>cgonzalez:</t>
        </r>
        <r>
          <rPr>
            <sz val="8"/>
            <color indexed="81"/>
            <rFont val="Tahoma"/>
            <family val="2"/>
          </rPr>
          <t xml:space="preserve">
se cambia tapas nuevas galvanizadas</t>
        </r>
      </text>
    </comment>
    <comment ref="S22" authorId="0" shapeId="0">
      <text>
        <r>
          <rPr>
            <b/>
            <sz val="8"/>
            <color indexed="81"/>
            <rFont val="Tahoma"/>
            <family val="2"/>
          </rPr>
          <t>cgonzalez:</t>
        </r>
        <r>
          <rPr>
            <sz val="8"/>
            <color indexed="81"/>
            <rFont val="Tahoma"/>
            <family val="2"/>
          </rPr>
          <t xml:space="preserve">
falta pintura
</t>
        </r>
      </text>
    </comment>
  </commentList>
</comments>
</file>

<file path=xl/sharedStrings.xml><?xml version="1.0" encoding="utf-8"?>
<sst xmlns="http://schemas.openxmlformats.org/spreadsheetml/2006/main" count="3610" uniqueCount="1479">
  <si>
    <t>Bomba de presion 1</t>
  </si>
  <si>
    <t>Bomba de presion 2</t>
  </si>
  <si>
    <t>Bomba de circulacion 1</t>
  </si>
  <si>
    <t>Bomba de circulacion 2</t>
  </si>
  <si>
    <t>Uv 1( hachery)</t>
  </si>
  <si>
    <t>Uv2( agua de salida Hatch</t>
  </si>
  <si>
    <t>Bombas</t>
  </si>
  <si>
    <t>Bomba de Barro</t>
  </si>
  <si>
    <t>Bomba pozo seco</t>
  </si>
  <si>
    <t>Tablero</t>
  </si>
  <si>
    <t>Sensor de PH</t>
  </si>
  <si>
    <t>Sensor de O2</t>
  </si>
  <si>
    <t>VLT 1</t>
  </si>
  <si>
    <t>VLT2</t>
  </si>
  <si>
    <t>CHILLLER</t>
  </si>
  <si>
    <t>DESIGNACION</t>
  </si>
  <si>
    <t>EQUIPOS</t>
  </si>
  <si>
    <t>Ultimo Mantenimiento</t>
  </si>
  <si>
    <t>proximo Mantenimiento</t>
  </si>
  <si>
    <t>N°</t>
  </si>
  <si>
    <t>CAUSA</t>
  </si>
  <si>
    <t>TRABAJO</t>
  </si>
  <si>
    <t>INTERVENCION</t>
  </si>
  <si>
    <t>Cambio rodamiento y pintura</t>
  </si>
  <si>
    <t>Nueva mantencion</t>
  </si>
  <si>
    <t>Bomba lavado Ftr</t>
  </si>
  <si>
    <t>filtro tambor</t>
  </si>
  <si>
    <t xml:space="preserve">Cambio rodamiento </t>
  </si>
  <si>
    <t>reparacion de condensador por fuga</t>
  </si>
  <si>
    <t>Bomba de presion 3</t>
  </si>
  <si>
    <t>Bomba de presion 4</t>
  </si>
  <si>
    <t>Bomba de presion 5</t>
  </si>
  <si>
    <t>Bomba de presion 6</t>
  </si>
  <si>
    <t>Bomba de retorno 1</t>
  </si>
  <si>
    <t>Bomba de retorno 2</t>
  </si>
  <si>
    <t>Bomba de retorno 3</t>
  </si>
  <si>
    <t>Bomba de retorno 4</t>
  </si>
  <si>
    <t>bomba de agua caliente</t>
  </si>
  <si>
    <t>filtros uv</t>
  </si>
  <si>
    <t>Tablero electrico</t>
  </si>
  <si>
    <t>Bomba de presion 7</t>
  </si>
  <si>
    <t>Bomba de presion 8</t>
  </si>
  <si>
    <t>Bomba de presion 9</t>
  </si>
  <si>
    <t>Bomba de presion 10</t>
  </si>
  <si>
    <t>Bomba de presion 11</t>
  </si>
  <si>
    <t>Bomba de presion 12</t>
  </si>
  <si>
    <t>Bomba de presion 13</t>
  </si>
  <si>
    <t>Bomba de presion 14</t>
  </si>
  <si>
    <t>Bomba de presion 15</t>
  </si>
  <si>
    <t>Bomba de presion 16</t>
  </si>
  <si>
    <t>Bomba de presion 17</t>
  </si>
  <si>
    <t>Bomba de presion 18</t>
  </si>
  <si>
    <t>Bomba de presion 19</t>
  </si>
  <si>
    <t>Bomba de presion 20</t>
  </si>
  <si>
    <t>Bomba de retorno 5</t>
  </si>
  <si>
    <t>Bomba de retorno 6</t>
  </si>
  <si>
    <t>Bomba de retorno 7</t>
  </si>
  <si>
    <t>Bomba de retorno 8</t>
  </si>
  <si>
    <t>Bomba de retorno 9</t>
  </si>
  <si>
    <t>Bomba de retorno 10</t>
  </si>
  <si>
    <t>Bomba de retorno 11</t>
  </si>
  <si>
    <t>Bomba de retorno 12</t>
  </si>
  <si>
    <t>Bomba de retorno 13</t>
  </si>
  <si>
    <t>Bomba de retorno 14</t>
  </si>
  <si>
    <t>Bomba de retorno 15</t>
  </si>
  <si>
    <t>Bomba de retorno 16</t>
  </si>
  <si>
    <t>Bomba de retorno 17</t>
  </si>
  <si>
    <t>Bomba de retorno 18</t>
  </si>
  <si>
    <t>Bomba de retorno 19</t>
  </si>
  <si>
    <t>Bomba de retorno 20</t>
  </si>
  <si>
    <t>Bomba de retorno 21</t>
  </si>
  <si>
    <t>Bomba de retorno 22</t>
  </si>
  <si>
    <t>bomba ftr1</t>
  </si>
  <si>
    <t>bomba ftr2</t>
  </si>
  <si>
    <t>bomba de lavado biofiltro</t>
  </si>
  <si>
    <t>vetilador 1</t>
  </si>
  <si>
    <t>vetilador 2</t>
  </si>
  <si>
    <t>vetilador 3</t>
  </si>
  <si>
    <t>vetilador 4</t>
  </si>
  <si>
    <t>vetilador 5</t>
  </si>
  <si>
    <t>vetilador 6</t>
  </si>
  <si>
    <t>ventilador de extraccion 1</t>
  </si>
  <si>
    <t>ventilador de extraccion 2</t>
  </si>
  <si>
    <t>ventilador de extraccion 3</t>
  </si>
  <si>
    <t>ventilador de extraccion 4</t>
  </si>
  <si>
    <t>soplador 2</t>
  </si>
  <si>
    <t>uv2</t>
  </si>
  <si>
    <t>compresor1</t>
  </si>
  <si>
    <t>contadora smolt</t>
  </si>
  <si>
    <t>contadora fry</t>
  </si>
  <si>
    <t>tecnicapompe smolt 1</t>
  </si>
  <si>
    <t>tecnicapompe smolt 2</t>
  </si>
  <si>
    <t>tecnicapompe Fry1</t>
  </si>
  <si>
    <t>bomba de puntera</t>
  </si>
  <si>
    <t xml:space="preserve">bomba poso </t>
  </si>
  <si>
    <t>bomba de lombrifiltro 1</t>
  </si>
  <si>
    <t>bomba de lombrifiltro 2</t>
  </si>
  <si>
    <t>bomba de lombrifiltro 3</t>
  </si>
  <si>
    <t>bomba de lombrifiltro 4</t>
  </si>
  <si>
    <t>aireador 1</t>
  </si>
  <si>
    <t>apollo smolt</t>
  </si>
  <si>
    <t>apollo fry</t>
  </si>
  <si>
    <t>Mantencion realizada</t>
  </si>
  <si>
    <t>si</t>
  </si>
  <si>
    <t>no</t>
  </si>
  <si>
    <t>mantenimiento realizado</t>
  </si>
  <si>
    <t>reducor de cal</t>
  </si>
  <si>
    <t>SMOLT</t>
  </si>
  <si>
    <t>Fry</t>
  </si>
  <si>
    <t>HATCHERY</t>
  </si>
  <si>
    <t>INSTALACIONES</t>
  </si>
  <si>
    <t>HATBP1</t>
  </si>
  <si>
    <t>HATBP2</t>
  </si>
  <si>
    <t>HATBC1</t>
  </si>
  <si>
    <t>HATBC2</t>
  </si>
  <si>
    <t>HATBFTR</t>
  </si>
  <si>
    <t>HATFUV2</t>
  </si>
  <si>
    <t>HATFTA</t>
  </si>
  <si>
    <t>HATCOM</t>
  </si>
  <si>
    <t>HATBB</t>
  </si>
  <si>
    <t>HATBOSE</t>
  </si>
  <si>
    <t>HATVAF</t>
  </si>
  <si>
    <t>HATVLT1</t>
  </si>
  <si>
    <t>HATVLT2</t>
  </si>
  <si>
    <t>HATELE</t>
  </si>
  <si>
    <t>HATINS</t>
  </si>
  <si>
    <t>HATMF</t>
  </si>
  <si>
    <t>HATILU</t>
  </si>
  <si>
    <t>Iluminacion</t>
  </si>
  <si>
    <t>comhatch</t>
  </si>
  <si>
    <t>valvula agua fria</t>
  </si>
  <si>
    <t>SENSORES</t>
  </si>
  <si>
    <t>cambio de piezas</t>
  </si>
  <si>
    <t>cambio de barredores</t>
  </si>
  <si>
    <t>Cambio rodamiento  y pintura</t>
  </si>
  <si>
    <t>BOMBA DE PRESION 1</t>
  </si>
  <si>
    <t>BOMBA DE PRESION 2</t>
  </si>
  <si>
    <t>BOMBA DE PRESION 3</t>
  </si>
  <si>
    <t>BOMBA DE PRESION 4</t>
  </si>
  <si>
    <t>BOMBA DE PRESION 5</t>
  </si>
  <si>
    <t>BOMBA DE PRESION 6</t>
  </si>
  <si>
    <t>BOMBA DE RETORNO 1</t>
  </si>
  <si>
    <t>BOMBA DE RETORNO 2</t>
  </si>
  <si>
    <t>BOMBA DE RETORNO 3</t>
  </si>
  <si>
    <t>BOMBA DE RETORNO 4</t>
  </si>
  <si>
    <t>FILTRO TAMBOR 1</t>
  </si>
  <si>
    <t>FILTRO TAMBOR2</t>
  </si>
  <si>
    <t>BOMBA FTR</t>
  </si>
  <si>
    <t>VLT PRESION1</t>
  </si>
  <si>
    <t>VLT PRESION6</t>
  </si>
  <si>
    <t>VLT TAMBOR1</t>
  </si>
  <si>
    <t>VLT TAMBOR2</t>
  </si>
  <si>
    <t>BOMBA DE BARRO</t>
  </si>
  <si>
    <t>BOMBA POZO SECO 1</t>
  </si>
  <si>
    <t>BOMBAPOSO SECO 2</t>
  </si>
  <si>
    <t>BOMBA LAVADO BIO FILTRO</t>
  </si>
  <si>
    <t xml:space="preserve">VENTILADOR INY 1 </t>
  </si>
  <si>
    <t>VENTILADOR INY 2</t>
  </si>
  <si>
    <t>VENTILADOR INY 3</t>
  </si>
  <si>
    <t>VENTILADOR INY 4</t>
  </si>
  <si>
    <t>VENTIDAOR EXT 1</t>
  </si>
  <si>
    <t>VENTIDAOR EXT 2</t>
  </si>
  <si>
    <t>VENTIDAOR EXT 3</t>
  </si>
  <si>
    <t>VENTIDAOR EXT 4</t>
  </si>
  <si>
    <t>COMPRESOR 1</t>
  </si>
  <si>
    <t>BOMBA DE CALOR</t>
  </si>
  <si>
    <t>FILTRO UV 1</t>
  </si>
  <si>
    <t>FILTRO UV 2</t>
  </si>
  <si>
    <t>VALVULA DE INGRESO DE AGUA FRESCA</t>
  </si>
  <si>
    <t>VALVULA DE INGRESO SAL ESTANQUE</t>
  </si>
  <si>
    <t>VALVULA DE INGRESO SAL SISTEMA</t>
  </si>
  <si>
    <t>SISTEMA DE CAL</t>
  </si>
  <si>
    <t>ALIMENTADORES</t>
  </si>
  <si>
    <t>TABLERO PRINCIPAL</t>
  </si>
  <si>
    <t>TABLERO DE ALIMETADORES</t>
  </si>
  <si>
    <t>TABLERO DE VENTILADORES</t>
  </si>
  <si>
    <t>SOPLADOR1</t>
  </si>
  <si>
    <t>SOPLADOR 2</t>
  </si>
  <si>
    <t>VENTILADORES SISTEMA</t>
  </si>
  <si>
    <t>VALVULAS SELENOIDES</t>
  </si>
  <si>
    <t>FOCOS FRY</t>
  </si>
  <si>
    <t>OTROS</t>
  </si>
  <si>
    <t>engrase y revicon de paños</t>
  </si>
  <si>
    <t>cambio rodamiento</t>
  </si>
  <si>
    <t>cambio de lamparas</t>
  </si>
  <si>
    <t>instalacion y montaje</t>
  </si>
  <si>
    <t>&lt;</t>
  </si>
  <si>
    <t>UV1</t>
  </si>
  <si>
    <t>Uv2</t>
  </si>
  <si>
    <t>FILTRO TAMBOR 2</t>
  </si>
  <si>
    <t>FILTRO TAMBOR 3</t>
  </si>
  <si>
    <t>FILTRO TAMBOR 4</t>
  </si>
  <si>
    <t>VALVULAS DE INGRESO</t>
  </si>
  <si>
    <t xml:space="preserve">ILUMINACION </t>
  </si>
  <si>
    <t>TABLERO ELECTRICO</t>
  </si>
  <si>
    <t>Cambio de rodamiento ruedas soporte</t>
  </si>
  <si>
    <t>filtro rotatorio 1</t>
  </si>
  <si>
    <t>filtro rotatorio 2</t>
  </si>
  <si>
    <t>filtro rotatorio 3</t>
  </si>
  <si>
    <t>filtro rotatorio 4</t>
  </si>
  <si>
    <t>Quemado</t>
  </si>
  <si>
    <t>Smolt</t>
  </si>
  <si>
    <t>cambio de rodamiento y pintado bomba</t>
  </si>
  <si>
    <t>agua en motor (cambio de sello y rodamientos)</t>
  </si>
  <si>
    <t>cambio de rodamiento</t>
  </si>
  <si>
    <t>agua en motor ( cambio rodamientos)</t>
  </si>
  <si>
    <t>cambio de rodamiento reten</t>
  </si>
  <si>
    <t>compresor alimentacion</t>
  </si>
  <si>
    <t xml:space="preserve">cambio de aceite limpieza filtro </t>
  </si>
  <si>
    <t>actuadores neumaticos</t>
  </si>
  <si>
    <t>cambio de rodamiento rueda soporte</t>
  </si>
  <si>
    <t xml:space="preserve">Mantenimiento pintura </t>
  </si>
  <si>
    <t>Mantencion , cambio rodamiento</t>
  </si>
  <si>
    <t>cambio valvula neumatica 5/2 biofr N°5</t>
  </si>
  <si>
    <t>Rodamientos</t>
  </si>
  <si>
    <t>6307y 6206 zz</t>
  </si>
  <si>
    <t>6205y6204 zz</t>
  </si>
  <si>
    <t>6208y 6208</t>
  </si>
  <si>
    <t>soplador 1 mortalidad</t>
  </si>
  <si>
    <t>reaprete furza y control</t>
  </si>
  <si>
    <t>6204 y 6205</t>
  </si>
  <si>
    <t>Cambio de 6 ampolletas halogeno</t>
  </si>
  <si>
    <t>Revision y puesta en marcha</t>
  </si>
  <si>
    <t>Revision lampras</t>
  </si>
  <si>
    <t xml:space="preserve">cambio de oring a todos actuadores </t>
  </si>
  <si>
    <t>cambio de rodamientos</t>
  </si>
  <si>
    <t>Revicion completa de reductor y paños</t>
  </si>
  <si>
    <t>Revision funcionamiento</t>
  </si>
  <si>
    <t>Mantencion , cambio rodamiento,cambio de correa</t>
  </si>
  <si>
    <t>bomba elevadora lomb  1</t>
  </si>
  <si>
    <t>bomba elevadora lomb 2</t>
  </si>
  <si>
    <t>uv1</t>
  </si>
  <si>
    <t>6205 y 6004</t>
  </si>
  <si>
    <t>Mantenimiento a bomba lowara glicol , reaprete,limpieza aletas condensador, rellenado de glicol estanque</t>
  </si>
  <si>
    <t>inspeccion y aprete uniones tuberias</t>
  </si>
  <si>
    <t>mantenimiento y pintura</t>
  </si>
  <si>
    <t>cambio de valvula garantia</t>
  </si>
  <si>
    <t xml:space="preserve"> pric 6308,6208</t>
  </si>
  <si>
    <t>ceb 6206, 6206</t>
  </si>
  <si>
    <t xml:space="preserve"> pric 6209, 6209 </t>
  </si>
  <si>
    <t>ceb 6308, 6208</t>
  </si>
  <si>
    <t>cambio de rodamientos y pintura</t>
  </si>
  <si>
    <t>6205 y6004</t>
  </si>
  <si>
    <t>dia</t>
  </si>
  <si>
    <t>Tarea</t>
  </si>
  <si>
    <t>equipo</t>
  </si>
  <si>
    <t>seccion</t>
  </si>
  <si>
    <t>Mantencion</t>
  </si>
  <si>
    <t>6208 6208</t>
  </si>
  <si>
    <t>Bomba de calor</t>
  </si>
  <si>
    <t>smolt</t>
  </si>
  <si>
    <t>preventiva</t>
  </si>
  <si>
    <t>cambio de tapa voluta</t>
  </si>
  <si>
    <t>6206 x2</t>
  </si>
  <si>
    <t>Mantenimiento y pintura</t>
  </si>
  <si>
    <t>cambio de bomba por 80kw</t>
  </si>
  <si>
    <t>cambio de terminales y reparado bandejas</t>
  </si>
  <si>
    <t xml:space="preserve">calibracion y revision </t>
  </si>
  <si>
    <t>instalacion</t>
  </si>
  <si>
    <t>tecnicapompe Fry2 0706tc</t>
  </si>
  <si>
    <t>mantenimiento,pintura cambio manometros</t>
  </si>
  <si>
    <t>Mantencion , cambio sello</t>
  </si>
  <si>
    <t>cambio de rodamientos,sello</t>
  </si>
  <si>
    <t>revision y pintado</t>
  </si>
  <si>
    <t>causa</t>
  </si>
  <si>
    <t>intervencion</t>
  </si>
  <si>
    <t>limpieza y pintado</t>
  </si>
  <si>
    <t>encamisado soporte trasero rodamiento</t>
  </si>
  <si>
    <t>engrase</t>
  </si>
  <si>
    <t>6005 x4</t>
  </si>
  <si>
    <t>6005x4</t>
  </si>
  <si>
    <t>6007 reten 35-62-7</t>
  </si>
  <si>
    <t>chequeo valvula chec</t>
  </si>
  <si>
    <t>calibracion , cambio golillas presion</t>
  </si>
  <si>
    <t>puesta en marcha</t>
  </si>
  <si>
    <t xml:space="preserve">cambio de 4 lamparas, cambio 2 camisas cuarzo </t>
  </si>
  <si>
    <t>limpieza y pintado reten 30-47-7</t>
  </si>
  <si>
    <t>cambio de  8 conectores</t>
  </si>
  <si>
    <t>Revision lubricacion valvula tk13</t>
  </si>
  <si>
    <t>mantenimeinto y pintado</t>
  </si>
  <si>
    <t>6208-6208</t>
  </si>
  <si>
    <t>mantenimiento,pintado y bobinado</t>
  </si>
  <si>
    <t>pin pin z-100</t>
  </si>
  <si>
    <t>limpieza y pintado barnizado</t>
  </si>
  <si>
    <t>6309 y 6209</t>
  </si>
  <si>
    <t>mantenimiento, limpieza</t>
  </si>
  <si>
    <t>6308- 6206</t>
  </si>
  <si>
    <t>cuarzo quebrado se cambia lampara, cuarzo</t>
  </si>
  <si>
    <t>revision de valvula, limpieza</t>
  </si>
  <si>
    <t>otros</t>
  </si>
  <si>
    <t>reparacion fuga cono 6</t>
  </si>
  <si>
    <t>mantenimiento ,limpieza</t>
  </si>
  <si>
    <t>6308-6206</t>
  </si>
  <si>
    <t>reparacion chavetero polea</t>
  </si>
  <si>
    <t>6209-6309</t>
  </si>
  <si>
    <t>mantenimiento ,limpieza ,</t>
  </si>
  <si>
    <t>mantenimiento,cambio de sello</t>
  </si>
  <si>
    <t>6209 y 6209</t>
  </si>
  <si>
    <t>instalacion despiche cono oxigeno ,relleno acite ftr</t>
  </si>
  <si>
    <t xml:space="preserve">mantenimiento </t>
  </si>
  <si>
    <t>7308-6206</t>
  </si>
  <si>
    <t>W 688 A2</t>
  </si>
  <si>
    <t>cambio contactor bba ret 4,bba ret 1 guardamotor,</t>
  </si>
  <si>
    <t>cambio automaticos 25 A alimentacion UV</t>
  </si>
  <si>
    <t>BOMBA DE SAL 1 recirculacion</t>
  </si>
  <si>
    <t>BOMBA DE SAL 2 adicion</t>
  </si>
  <si>
    <t>6204-6202</t>
  </si>
  <si>
    <t>mantenimiento y pintura cambio flange inox</t>
  </si>
  <si>
    <t>cambio rodamiento, pintado cambio sello</t>
  </si>
  <si>
    <t>cambio rodamiento, pintado, cambio sello</t>
  </si>
  <si>
    <t>mantenimiento y limpieza</t>
  </si>
  <si>
    <t>6205-6004</t>
  </si>
  <si>
    <t>6204-6201</t>
  </si>
  <si>
    <t>6305-6205</t>
  </si>
  <si>
    <t>trabajo</t>
  </si>
  <si>
    <t>bomba poso seco 1 barro</t>
  </si>
  <si>
    <t xml:space="preserve">Mantenimiento </t>
  </si>
  <si>
    <t>revision se encontro agua , limpieza</t>
  </si>
  <si>
    <t>cambio a actuador neumatico</t>
  </si>
  <si>
    <t>Bomba de agua Caliente</t>
  </si>
  <si>
    <t xml:space="preserve"> </t>
  </si>
  <si>
    <t>cambio de valvula est 13</t>
  </si>
  <si>
    <t>cambio de valvula retencion bba fria</t>
  </si>
  <si>
    <t>nueva mantencion</t>
  </si>
  <si>
    <t>cambio de oring</t>
  </si>
  <si>
    <t xml:space="preserve">cambio de sello </t>
  </si>
  <si>
    <t>cambiode rodamiento Bba cebado</t>
  </si>
  <si>
    <t>fecha</t>
  </si>
  <si>
    <t>Trabajo</t>
  </si>
  <si>
    <t>Trabajos</t>
  </si>
  <si>
    <t>calibracion cambio de pernos</t>
  </si>
  <si>
    <t>cambio conectores de11 a 23 fry</t>
  </si>
  <si>
    <t>conectores de oxigeno fry</t>
  </si>
  <si>
    <t>cambio rodamientos</t>
  </si>
  <si>
    <t>6203 y 6306</t>
  </si>
  <si>
    <t>Cambio de mangueras rotas</t>
  </si>
  <si>
    <t>cambio de rodamiento sello</t>
  </si>
  <si>
    <t xml:space="preserve">revision ventiladores </t>
  </si>
  <si>
    <t>12 mangueras cambiadas</t>
  </si>
  <si>
    <t>6308 x2</t>
  </si>
  <si>
    <t>Cambio Rodamientos</t>
  </si>
  <si>
    <t>Instalacion de focos led</t>
  </si>
  <si>
    <t xml:space="preserve">cambio rodamientos reductor </t>
  </si>
  <si>
    <t>6203 y 6303</t>
  </si>
  <si>
    <t>cambio conectores oxigeno</t>
  </si>
  <si>
    <t>cambio ventilador tricklig</t>
  </si>
  <si>
    <t xml:space="preserve">pintado bombas </t>
  </si>
  <si>
    <t xml:space="preserve">cambio de alimentacion bus bar y alimentacion </t>
  </si>
  <si>
    <t>Engrase y pintura valvulas</t>
  </si>
  <si>
    <t>cambio de rodamiento y pintura</t>
  </si>
  <si>
    <t>cambio rodamientos ,pintura aceite reductor</t>
  </si>
  <si>
    <t>mantenimiento</t>
  </si>
  <si>
    <t>cambio de 2 rele alimentacion</t>
  </si>
  <si>
    <t>mantenimiento engrase ,reaprete</t>
  </si>
  <si>
    <t>Mantencion cambio sello</t>
  </si>
  <si>
    <t>lubricacion completa  todas valvulas</t>
  </si>
  <si>
    <t>cambio bornes caja alimentadores</t>
  </si>
  <si>
    <t>Cambio de rodamiento ruedas soporte y aceite cadena</t>
  </si>
  <si>
    <t>Cambio de lamparas UV 8 lamp hor 18962</t>
  </si>
  <si>
    <t>Cambio 5 ballast y 9 lamparas</t>
  </si>
  <si>
    <t>Mantenimiento</t>
  </si>
  <si>
    <t>cambio reles tablero completo</t>
  </si>
  <si>
    <t>display oxigeno</t>
  </si>
  <si>
    <t>cambio display est 1, 4, 12</t>
  </si>
  <si>
    <t xml:space="preserve">cambio rele alimentador est- </t>
  </si>
  <si>
    <t>Cambio de reles tablero onrg</t>
  </si>
  <si>
    <t>cambio rodamiento , reten pintura encamizado tapa</t>
  </si>
  <si>
    <t>revision  buen estado</t>
  </si>
  <si>
    <t>conector rapido 3/8 x 10 cono</t>
  </si>
  <si>
    <t>Reparacion de filtracion perno centro, barnizado ballast</t>
  </si>
  <si>
    <t>cambio conectores rapidos conos</t>
  </si>
  <si>
    <t>Mantenimiento y cambio valvula retencion</t>
  </si>
  <si>
    <t>mantenimiento y píntura ,cambio tapas</t>
  </si>
  <si>
    <t>Reductor silo mortalidad</t>
  </si>
  <si>
    <t xml:space="preserve">Puesta en marcha </t>
  </si>
  <si>
    <t>Cambio rodamiento, revision aceite</t>
  </si>
  <si>
    <t>distribucion iluminacion focos fry</t>
  </si>
  <si>
    <t>FRY FOCOS</t>
  </si>
  <si>
    <t>Foco</t>
  </si>
  <si>
    <t>Seccion</t>
  </si>
  <si>
    <t>Utimo cambio</t>
  </si>
  <si>
    <t>Proximo Cambio</t>
  </si>
  <si>
    <t>Pasillo</t>
  </si>
  <si>
    <t>ALEVIN   FOCOS</t>
  </si>
  <si>
    <t>PASILLO</t>
  </si>
  <si>
    <t>Alevin</t>
  </si>
  <si>
    <t>bodega</t>
  </si>
  <si>
    <t>operación</t>
  </si>
  <si>
    <t>maquina</t>
  </si>
  <si>
    <t>Operación</t>
  </si>
  <si>
    <t>Bodega</t>
  </si>
  <si>
    <t>Maquina</t>
  </si>
  <si>
    <t>mantencion</t>
  </si>
  <si>
    <t>Caldera</t>
  </si>
  <si>
    <t>limpieza componentes y cambio rodamientos motor</t>
  </si>
  <si>
    <t>TABLERO DE ALIMETADORES FRY</t>
  </si>
  <si>
    <t>TABLERO DE ALIMETADORES ALEVIN</t>
  </si>
  <si>
    <t>VENTILADORE 1 TRICKLING 1</t>
  </si>
  <si>
    <t>VENTILADORE 1 TRICKLING 2</t>
  </si>
  <si>
    <t>VENTILADORE 1 TRICKLING 3 F.A.</t>
  </si>
  <si>
    <t>BOMBA SALIDA F.A.</t>
  </si>
  <si>
    <t>TABLERO ALIMENTADORES</t>
  </si>
  <si>
    <t>BOMBA DE PRESION 7</t>
  </si>
  <si>
    <t>BOMBA DE PRESION 8</t>
  </si>
  <si>
    <t>BOMBA DE PRESION 9</t>
  </si>
  <si>
    <t>BOMBA DE PRESION 10</t>
  </si>
  <si>
    <t>BOMBA DE PRESION 11</t>
  </si>
  <si>
    <t>BOMBA DE PRESION 12</t>
  </si>
  <si>
    <t>BOMBA DE PRESION 13</t>
  </si>
  <si>
    <t>BOMBA DE PRESION 14</t>
  </si>
  <si>
    <t>BOMBA DE PRESION 15</t>
  </si>
  <si>
    <t>BOMBA DE PRESION 16</t>
  </si>
  <si>
    <t>BOMBA DE PRESION 17</t>
  </si>
  <si>
    <t>BOMBA DE PRESION 18</t>
  </si>
  <si>
    <t>BOMBA DE PRESION 19</t>
  </si>
  <si>
    <t>BOMBA DE PRESION 20</t>
  </si>
  <si>
    <t>BOMBA DE RETORNO 5</t>
  </si>
  <si>
    <t>BOMBA DE RETORNO 6</t>
  </si>
  <si>
    <t>BOMBA DE RETORNO 7</t>
  </si>
  <si>
    <t>BOMBA DE RETORNO 8</t>
  </si>
  <si>
    <t>BOMBA DE RETORNO 9</t>
  </si>
  <si>
    <t>BOMBA DE RETORNO 10</t>
  </si>
  <si>
    <t>BOMBA DE RETORNO 11</t>
  </si>
  <si>
    <t>BOMBA DE RETORNO 12</t>
  </si>
  <si>
    <t>BOMBA DE RETORNO 13</t>
  </si>
  <si>
    <t>BOMBA DE RETORNO 14</t>
  </si>
  <si>
    <t>BOMBA DE RETORNO 15</t>
  </si>
  <si>
    <t>BOMBA DE RETORNO 16</t>
  </si>
  <si>
    <t>BOMBA DE RETORNO 17</t>
  </si>
  <si>
    <t>BOMBA DE RETORNO 18</t>
  </si>
  <si>
    <t>BOMBA DE RETORNO 19</t>
  </si>
  <si>
    <t>BOMBA DE RETORNO 20</t>
  </si>
  <si>
    <t>BOMBA DE RETORNO 21</t>
  </si>
  <si>
    <t>BOMBA DE RETORNO 22</t>
  </si>
  <si>
    <t>BOMBA FTR 1</t>
  </si>
  <si>
    <t>BOMBA FTR 2</t>
  </si>
  <si>
    <t>BOMBA DE AGUA CALIENTE</t>
  </si>
  <si>
    <t>BOMBA LAVADO BIOFILTRO</t>
  </si>
  <si>
    <t>VENTILADOR DE EXTRACCION 1</t>
  </si>
  <si>
    <t>VENTILADOR TRICKLING 1</t>
  </si>
  <si>
    <t>VENTILADOR TRICKLING 2</t>
  </si>
  <si>
    <t>VENTILADOR TRICKLING 3</t>
  </si>
  <si>
    <t>VENTILADOR TRICKLING 4</t>
  </si>
  <si>
    <t>VENTILADOR TRICKLING 5</t>
  </si>
  <si>
    <t>VENTILADOR TRICKLING 6</t>
  </si>
  <si>
    <t>VENTILADOR DE EXTRACCION 2</t>
  </si>
  <si>
    <t>VENTILADOR DE EXTRACCION 3</t>
  </si>
  <si>
    <t>VENTILADOR DE EXTRACCION 4</t>
  </si>
  <si>
    <t xml:space="preserve">SOPLADOR 1 </t>
  </si>
  <si>
    <t>SOPLADOR 2 ( MORTALIDAD)</t>
  </si>
  <si>
    <t>VALVULAS DE INGRESO AGUA ESTANQUES</t>
  </si>
  <si>
    <t>ILUMINACION SMOLT</t>
  </si>
  <si>
    <t>REDUCTOR DE CAL</t>
  </si>
  <si>
    <t>SENSORES OXIGENO</t>
  </si>
  <si>
    <t>VALVULAS DE OXIGENO EMERGENCIA</t>
  </si>
  <si>
    <t>VALVULAS SELENOIDES OXIGENO E.</t>
  </si>
  <si>
    <t>EQUIPOS DE APOYO</t>
  </si>
  <si>
    <t>FRY</t>
  </si>
  <si>
    <t>CONTADOR SMOLT CARGA</t>
  </si>
  <si>
    <t xml:space="preserve">CONTADOR FRY </t>
  </si>
  <si>
    <t>CONATDOR SMOLT GRADUACION</t>
  </si>
  <si>
    <t>TECNICAPOMPE SMOLT1</t>
  </si>
  <si>
    <t>TECNICAPOMPESMOLT 2</t>
  </si>
  <si>
    <t>TECNICAPOMPE FRY 1</t>
  </si>
  <si>
    <t>TECNICAPOMPE FRY 2</t>
  </si>
  <si>
    <t>BOMBA PUNTERA</t>
  </si>
  <si>
    <t>BOMBA ELEVADORA 1</t>
  </si>
  <si>
    <t>BOMBA ELEVADORA 2</t>
  </si>
  <si>
    <t xml:space="preserve">BOMBA LOMBRIFILTRO 1 </t>
  </si>
  <si>
    <t>BOMBA LOMBRIFILTRO 2</t>
  </si>
  <si>
    <t>BOMBA LOMBRIFILTRO 3</t>
  </si>
  <si>
    <t>BOMBA LOMBRIFILTRO 4</t>
  </si>
  <si>
    <t>AIREADOR1</t>
  </si>
  <si>
    <t>SELECCIONADOR  4 CANALES SMOLT</t>
  </si>
  <si>
    <t>SELECCIONADOR  8 CANALES SMOLT</t>
  </si>
  <si>
    <t>SELECCIONADOR  4 CANALES FRY</t>
  </si>
  <si>
    <t>CALDERA</t>
  </si>
  <si>
    <t>BOMBA AGUA CALIENTE CALDERA</t>
  </si>
  <si>
    <t>BOMBA PIN -PIN SMOLT</t>
  </si>
  <si>
    <t>BOMBA PICADOR MORTALIDAD</t>
  </si>
  <si>
    <t>REDUCTOS SILO DE MORTALIDAD</t>
  </si>
  <si>
    <t>HYDRO LAVADORA 9,20 SMOLT</t>
  </si>
  <si>
    <t>HYDRO LAVADORA 9,20 FRY</t>
  </si>
  <si>
    <t>HYDRO LAVADORA AGUA CALIENTE SMOLT</t>
  </si>
  <si>
    <t>BIO SCANNER SMOLT</t>
  </si>
  <si>
    <t>BALANZA 1G SMOLT</t>
  </si>
  <si>
    <t>BALANZA 0,5 G QUIMICOS</t>
  </si>
  <si>
    <t>BALANZA 0,1 G FRY</t>
  </si>
  <si>
    <t>CARGADOR DE BATERIA MANTENCION</t>
  </si>
  <si>
    <t>COD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</si>
  <si>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</si>
  <si>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</si>
  <si>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</si>
  <si>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</si>
  <si>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</si>
  <si>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</si>
  <si>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</si>
  <si>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</si>
  <si>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</si>
  <si>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</si>
  <si>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</si>
  <si>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</si>
  <si>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</si>
  <si>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</si>
  <si>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</si>
  <si>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</si>
  <si>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</si>
  <si>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</si>
  <si>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</si>
  <si>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</si>
  <si>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</si>
  <si>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</si>
  <si>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</si>
  <si>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</si>
  <si>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</si>
  <si>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</si>
  <si>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</si>
  <si>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</si>
  <si>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</si>
  <si>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</si>
  <si>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</si>
  <si>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</si>
  <si>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</si>
  <si>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</si>
  <si>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</si>
  <si>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</si>
  <si>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</si>
  <si>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</si>
  <si>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</si>
  <si>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</si>
  <si>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</si>
  <si>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</si>
  <si>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</si>
  <si>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</si>
  <si>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</si>
  <si>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</si>
  <si>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</si>
  <si>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</si>
  <si>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</si>
  <si>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</si>
  <si>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</si>
  <si>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</si>
  <si>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</si>
  <si>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</si>
  <si>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</si>
  <si>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</si>
  <si>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</si>
  <si>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</si>
  <si>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</si>
  <si>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</si>
  <si>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</si>
  <si>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</si>
  <si>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</si>
  <si>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</si>
  <si>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</si>
  <si>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</si>
  <si>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</si>
  <si>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</si>
  <si>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</si>
  <si>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</si>
  <si>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</si>
  <si>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</si>
  <si>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</si>
  <si>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</si>
  <si>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</si>
  <si>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</si>
  <si>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</si>
  <si>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</si>
  <si>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</si>
  <si>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</si>
  <si>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</si>
  <si>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</si>
  <si>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</si>
  <si>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</si>
  <si>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</si>
  <si>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</si>
  <si>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</si>
  <si>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</si>
  <si>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</si>
  <si>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</si>
  <si>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</si>
  <si>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</si>
  <si>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</si>
  <si>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</si>
  <si>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</si>
  <si>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</si>
  <si>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</si>
  <si>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</si>
  <si>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</si>
  <si>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</si>
  <si>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</si>
  <si>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</si>
  <si>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</si>
  <si>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</si>
  <si>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</si>
  <si>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</si>
  <si>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</si>
  <si>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</si>
  <si>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</si>
  <si>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</si>
  <si>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</si>
  <si>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</si>
  <si>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</si>
  <si>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</si>
  <si>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</si>
  <si>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</si>
  <si>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</si>
  <si>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</si>
  <si>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</si>
  <si>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</si>
  <si>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</si>
  <si>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</si>
  <si>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</si>
  <si>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</si>
  <si>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</si>
  <si>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</si>
  <si>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</si>
  <si>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</si>
  <si>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</si>
  <si>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</si>
  <si>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</si>
  <si>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</si>
  <si>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</si>
  <si>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</si>
  <si>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</si>
  <si>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</si>
  <si>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</si>
  <si>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</si>
  <si>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</si>
  <si>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</si>
  <si>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</si>
  <si>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</si>
  <si>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</si>
  <si>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</si>
  <si>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</si>
  <si>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</si>
  <si>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</si>
  <si>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</si>
  <si>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</si>
  <si>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</si>
  <si>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</si>
  <si>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</si>
  <si>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EA001</t>
  </si>
  <si>
    <t>EA002</t>
  </si>
  <si>
    <t>EA003</t>
  </si>
  <si>
    <t>EA004</t>
  </si>
  <si>
    <t>EA005</t>
  </si>
  <si>
    <t>EA006</t>
  </si>
  <si>
    <t>EA007</t>
  </si>
  <si>
    <t>EA008</t>
  </si>
  <si>
    <t>EA009</t>
  </si>
  <si>
    <t>EA010</t>
  </si>
  <si>
    <t>EA011</t>
  </si>
  <si>
    <t>EA012</t>
  </si>
  <si>
    <t>EA013</t>
  </si>
  <si>
    <t>EA014</t>
  </si>
  <si>
    <t>EA015</t>
  </si>
  <si>
    <t>EA016</t>
  </si>
  <si>
    <t>EA017</t>
  </si>
  <si>
    <t>EA018</t>
  </si>
  <si>
    <t>EA019</t>
  </si>
  <si>
    <t>EA020</t>
  </si>
  <si>
    <t>EA021</t>
  </si>
  <si>
    <t>EA022</t>
  </si>
  <si>
    <t>EA023</t>
  </si>
  <si>
    <t>EA024</t>
  </si>
  <si>
    <t>EA025</t>
  </si>
  <si>
    <t>EA026</t>
  </si>
  <si>
    <t>EA027</t>
  </si>
  <si>
    <t>EA028</t>
  </si>
  <si>
    <t>EA029</t>
  </si>
  <si>
    <t>EA030</t>
  </si>
  <si>
    <t>EA031</t>
  </si>
  <si>
    <t>EA032</t>
  </si>
  <si>
    <t>EA033</t>
  </si>
  <si>
    <t>FOTOMETRO LABORATORIO</t>
  </si>
  <si>
    <t>EA034</t>
  </si>
  <si>
    <t>BALANZA 150 KG FRY</t>
  </si>
  <si>
    <t>ILUMINACION SMOLT FLUORENTES</t>
  </si>
  <si>
    <t>TRACTOR CORTA CESPED</t>
  </si>
  <si>
    <t>ORILLADORA</t>
  </si>
  <si>
    <t>EA035</t>
  </si>
  <si>
    <t>EA036</t>
  </si>
  <si>
    <t>BOMBA DE ACIDO FORMICO</t>
  </si>
  <si>
    <t>BOMBA POZO PROFUNDO</t>
  </si>
  <si>
    <t>EA037</t>
  </si>
  <si>
    <t>EA038</t>
  </si>
  <si>
    <t>EA039</t>
  </si>
  <si>
    <t>COMPRESOR MANTENCION</t>
  </si>
  <si>
    <t>EA040</t>
  </si>
  <si>
    <t>SI</t>
  </si>
  <si>
    <t>MC</t>
  </si>
  <si>
    <t>INSTALACIONES ELECTRICAS</t>
  </si>
  <si>
    <t>SUBESTACION ELECTRICA</t>
  </si>
  <si>
    <t>GENERADOR 1</t>
  </si>
  <si>
    <t>GENERADOR 2</t>
  </si>
  <si>
    <t>BOMBA DE SURTIDO COMBUSTIBLE</t>
  </si>
  <si>
    <t>EA041</t>
  </si>
  <si>
    <t>EA042</t>
  </si>
  <si>
    <t>EA043</t>
  </si>
  <si>
    <t>EA044</t>
  </si>
  <si>
    <t>BOMBA DE CLORO LOMBRIFILTRO</t>
  </si>
  <si>
    <t>SIC</t>
  </si>
  <si>
    <t>PLAN DE MANTENIMIENTO 2010</t>
  </si>
  <si>
    <t>PLAN DE MANTENIMIENTO 2011</t>
  </si>
  <si>
    <t>PLAN DE MANTENIMIENTO 2012</t>
  </si>
  <si>
    <t>PROGRAMA ANUAL</t>
  </si>
  <si>
    <t>SOLO INSPECCION</t>
  </si>
  <si>
    <t>SOLO INSPECCION Y CALIBRACION</t>
  </si>
  <si>
    <t>MANTENCION COMPLETA</t>
  </si>
  <si>
    <t xml:space="preserve">Pedido de materiales </t>
  </si>
  <si>
    <t>6304 y6301</t>
  </si>
  <si>
    <t>mantenimiuento y cambio sello ,pintado</t>
  </si>
  <si>
    <t>revision</t>
  </si>
  <si>
    <t>cambio contactores bba CR 1y 2</t>
  </si>
  <si>
    <t>cambio rodamiento ,reten ,ducto</t>
  </si>
  <si>
    <t>cambio ducto</t>
  </si>
  <si>
    <t>Bomba flujo abierto</t>
  </si>
  <si>
    <t>Instalacion</t>
  </si>
  <si>
    <t>Mantenimiento y revision sheck</t>
  </si>
  <si>
    <t>reparacion con fibra estanque 49</t>
  </si>
  <si>
    <t xml:space="preserve">cambio empaquetadura de culata </t>
  </si>
  <si>
    <t xml:space="preserve">tablero compresor, caldera </t>
  </si>
  <si>
    <t>cambio de guardamotor ,contactor</t>
  </si>
  <si>
    <t xml:space="preserve">engrase y pintura </t>
  </si>
  <si>
    <t xml:space="preserve">fluorecente </t>
  </si>
  <si>
    <t xml:space="preserve">cambio fluorecente estnq 1, 2, 7 </t>
  </si>
  <si>
    <t>cambio fluorecente 3,4,7</t>
  </si>
  <si>
    <t xml:space="preserve">cambio valvula direccional 5/2 </t>
  </si>
  <si>
    <t xml:space="preserve">cambio rodamientos ruedas y retenes </t>
  </si>
  <si>
    <t>6007 reten 25-62-7</t>
  </si>
  <si>
    <t xml:space="preserve">Cambio sello mecanico 22mm </t>
  </si>
  <si>
    <t xml:space="preserve">reaprete tablero </t>
  </si>
  <si>
    <t>cambio rodamientos ruedas ,engrase</t>
  </si>
  <si>
    <t>cambio rodamientos ruedas engrase</t>
  </si>
  <si>
    <t>cambio motores nuevos alimentadores</t>
  </si>
  <si>
    <t>cambio 3 valvula sheck</t>
  </si>
  <si>
    <t xml:space="preserve">embobinado cambio rodamiento </t>
  </si>
  <si>
    <t>cambio display est. 12 , 2, 6</t>
  </si>
  <si>
    <t xml:space="preserve">valvulas medicinales </t>
  </si>
  <si>
    <t>cambio valvula tk 11</t>
  </si>
  <si>
    <t>reaprete tablero</t>
  </si>
  <si>
    <t xml:space="preserve">manrenimiento cambio rodamientos </t>
  </si>
  <si>
    <t>rep</t>
  </si>
  <si>
    <t>O</t>
  </si>
  <si>
    <t xml:space="preserve">  </t>
  </si>
  <si>
    <t>desarme se encuentra golilla , cambio correas , reten</t>
  </si>
  <si>
    <t>tablero principal</t>
  </si>
  <si>
    <t>cambio contactor CR -1</t>
  </si>
  <si>
    <t xml:space="preserve">cambio rodamientos </t>
  </si>
  <si>
    <t>mantenimiento valvulas oxigeno emerg</t>
  </si>
  <si>
    <t>mantenimiento valvulas oxigeno emergencia , cambio valvula tk 18</t>
  </si>
  <si>
    <t>cambio rodamiento bba lowara , relleno glicol</t>
  </si>
  <si>
    <t xml:space="preserve">cambio prisioneros todas  bombas de presion </t>
  </si>
  <si>
    <t>cambio rodamientos , barnizado , cambio cable ,sello</t>
  </si>
  <si>
    <t xml:space="preserve">Bba.  quemada , se bobina </t>
  </si>
  <si>
    <t>cambio correa reaprete tablero</t>
  </si>
  <si>
    <t xml:space="preserve">Reaprete de tablero , revicion desconectadores </t>
  </si>
  <si>
    <t xml:space="preserve">cambio cuarzo 8 </t>
  </si>
  <si>
    <t>cambio rodamientos ruedas , ruedas nuevas, mantenimiento reductor completo</t>
  </si>
  <si>
    <t xml:space="preserve">cambio mangueras acoples rapidos </t>
  </si>
  <si>
    <t xml:space="preserve">Reaprete tablero </t>
  </si>
  <si>
    <t>revicion</t>
  </si>
  <si>
    <t>cambio focos 220 v</t>
  </si>
  <si>
    <t>Bobinado ,rectificacion plato mantenimiento completo</t>
  </si>
  <si>
    <t xml:space="preserve">Mantenimiento completo cambio sello mecanico </t>
  </si>
  <si>
    <t xml:space="preserve">mantencion Bbas agua </t>
  </si>
  <si>
    <t>mantenimiento completo</t>
  </si>
  <si>
    <t xml:space="preserve">mantenimiento completo </t>
  </si>
  <si>
    <t>capacidad m3/H</t>
  </si>
  <si>
    <t xml:space="preserve">Bomba de presion </t>
  </si>
  <si>
    <t>cantidad N°</t>
  </si>
  <si>
    <t xml:space="preserve">Bomba de circulacion </t>
  </si>
  <si>
    <t>39,7m3/h</t>
  </si>
  <si>
    <t>potencia KW</t>
  </si>
  <si>
    <t>1,55 KW</t>
  </si>
  <si>
    <t>37m3/h</t>
  </si>
  <si>
    <t>1 KW</t>
  </si>
  <si>
    <t>chiller</t>
  </si>
  <si>
    <t xml:space="preserve">3m3/h </t>
  </si>
  <si>
    <t>1,5 KW</t>
  </si>
  <si>
    <t>2 KW</t>
  </si>
  <si>
    <t>Funcionamiento Horas</t>
  </si>
  <si>
    <t>0,5 KW</t>
  </si>
  <si>
    <t>900 W</t>
  </si>
  <si>
    <t>34 KW</t>
  </si>
  <si>
    <t>20m3/h</t>
  </si>
  <si>
    <t xml:space="preserve">Tablero principal </t>
  </si>
  <si>
    <t>1KW</t>
  </si>
  <si>
    <t xml:space="preserve">Hatchery </t>
  </si>
  <si>
    <t>0,3KW</t>
  </si>
  <si>
    <t>Hatchery</t>
  </si>
  <si>
    <t xml:space="preserve">BOMBA DE PRESION </t>
  </si>
  <si>
    <t>11 KW</t>
  </si>
  <si>
    <t>3 KW</t>
  </si>
  <si>
    <t xml:space="preserve">241,5 m3/h </t>
  </si>
  <si>
    <t>298,8 m3/h</t>
  </si>
  <si>
    <t xml:space="preserve">BOMBA DE RETORNO </t>
  </si>
  <si>
    <t xml:space="preserve">FILTRO TAMBOR </t>
  </si>
  <si>
    <t>7,5 KW</t>
  </si>
  <si>
    <t>17m3/h</t>
  </si>
  <si>
    <t>51,4 m3/h</t>
  </si>
  <si>
    <t>1,2 KW</t>
  </si>
  <si>
    <t>27m3/h</t>
  </si>
  <si>
    <t>15m3/h</t>
  </si>
  <si>
    <t>2m3/h</t>
  </si>
  <si>
    <t>4,8 KW</t>
  </si>
  <si>
    <t>9 KW</t>
  </si>
  <si>
    <t>375m3/h</t>
  </si>
  <si>
    <t>360m3 h</t>
  </si>
  <si>
    <t>BOMBA FLUJO ABIERTO</t>
  </si>
  <si>
    <t>270m3/h</t>
  </si>
  <si>
    <t>5 KW</t>
  </si>
  <si>
    <t xml:space="preserve">FRY </t>
  </si>
  <si>
    <t>258,3m3/h</t>
  </si>
  <si>
    <t>203,8m3/h</t>
  </si>
  <si>
    <t>4 Kw</t>
  </si>
  <si>
    <t>5,5KW</t>
  </si>
  <si>
    <t>BOMBA FTR1</t>
  </si>
  <si>
    <t>17 m3/h</t>
  </si>
  <si>
    <t>112m3/h</t>
  </si>
  <si>
    <t>10 KW</t>
  </si>
  <si>
    <t>3,6 KW</t>
  </si>
  <si>
    <t>183m3/h</t>
  </si>
  <si>
    <t>360m3/h</t>
  </si>
  <si>
    <t>102m3/h</t>
  </si>
  <si>
    <t>102 m3/h</t>
  </si>
  <si>
    <t>SOPLADOR MORTALIDAD</t>
  </si>
  <si>
    <t>BOMBA SUMEGIBLE</t>
  </si>
  <si>
    <t>BOMBA AGUA CALIENTE</t>
  </si>
  <si>
    <t>2,5 KW</t>
  </si>
  <si>
    <t>0,75 KW</t>
  </si>
  <si>
    <t xml:space="preserve">BOMBA POZO </t>
  </si>
  <si>
    <t>BOMBA LOMFRIFILTRO</t>
  </si>
  <si>
    <t xml:space="preserve">AIREADOR </t>
  </si>
  <si>
    <t>BOMBA MOLEDORA SILO</t>
  </si>
  <si>
    <t>80 l/s</t>
  </si>
  <si>
    <t>80 KW</t>
  </si>
  <si>
    <t>4 KW</t>
  </si>
  <si>
    <t xml:space="preserve">Equipos externos </t>
  </si>
  <si>
    <t>100m3/h</t>
  </si>
  <si>
    <t>1m3/h</t>
  </si>
  <si>
    <t>80m3/h</t>
  </si>
  <si>
    <t>1500 l/s</t>
  </si>
  <si>
    <t>Otros</t>
  </si>
  <si>
    <t>OfiCinas</t>
  </si>
  <si>
    <t>TOTAL</t>
  </si>
  <si>
    <t xml:space="preserve">Potencia instalada </t>
  </si>
  <si>
    <t>726,827 kw</t>
  </si>
  <si>
    <t>Lombrifiltro</t>
  </si>
  <si>
    <t>3KW</t>
  </si>
  <si>
    <t>vaki</t>
  </si>
  <si>
    <t>PLAN DE MANTENIMIENTO 2013</t>
  </si>
  <si>
    <t>fry</t>
  </si>
  <si>
    <t xml:space="preserve">mantencion completa </t>
  </si>
  <si>
    <t>mantencion motores no se cambian rodamientos impusor</t>
  </si>
  <si>
    <t xml:space="preserve">se fabrican ruedas FTR , cambio de rodamientos reductores </t>
  </si>
  <si>
    <t>se fabrican ruedas FTR, cambio rodamiento ,fabricacion de buje , reductores</t>
  </si>
  <si>
    <t>mantencion valvulas conos y bombas , cambio de actuador , mantencion actuadores</t>
  </si>
  <si>
    <t xml:space="preserve">se cambian valvulas de ingreso agua a UV </t>
  </si>
  <si>
    <t>valvulas sheck</t>
  </si>
  <si>
    <t>5-10 12</t>
  </si>
  <si>
    <t>cambio de todas la valvulas sheck fry , ong</t>
  </si>
  <si>
    <t>5 11-12</t>
  </si>
  <si>
    <t>cambio cable y contactor</t>
  </si>
  <si>
    <t xml:space="preserve">cambio de ventilador flujo abierto </t>
  </si>
  <si>
    <t>retenes reductor 45-85-19x2 , reten ciego 72-9x2 , 85-12x2, rodamiento reduc 6209zx2,7306BEA x2, reten motor 17-30-7x2 rodamientos 6203x2 6303x2 rten 80 -100-10x4</t>
  </si>
  <si>
    <t xml:space="preserve">rodamietos </t>
  </si>
  <si>
    <t>6203 y 6303, ruedas 6204 reten 25-47-7</t>
  </si>
  <si>
    <t>6205, 6204, sello 22mm</t>
  </si>
  <si>
    <t>6205 ,6205 cabezal 6205, 6204 reten 204710</t>
  </si>
  <si>
    <t>cambio</t>
  </si>
  <si>
    <t>rev compl</t>
  </si>
  <si>
    <t>mantencion preventiva</t>
  </si>
  <si>
    <t>pintado</t>
  </si>
  <si>
    <t>mantencion , bobinado</t>
  </si>
  <si>
    <t>mantencion completa</t>
  </si>
  <si>
    <t>cambio valvula 5/2</t>
  </si>
  <si>
    <t>bomba silo fly</t>
  </si>
  <si>
    <t>fabrica voluta inox ,cambio radamientos ,cambio aceite dielectrico</t>
  </si>
  <si>
    <t>3305 y 6305</t>
  </si>
  <si>
    <t>6206 y6208 reten 40-55-7</t>
  </si>
  <si>
    <t xml:space="preserve">mantencion a ruedas , eje pricipal, motores reductores, cambio aceite reducotr , cadena </t>
  </si>
  <si>
    <t>reten reductor 120x12 ciego, 90x12 ciego, 65x120x12, piñon Z11</t>
  </si>
  <si>
    <t>6204y6205 reten 35-62-7</t>
  </si>
  <si>
    <t>mantencion 5,6,7,8</t>
  </si>
  <si>
    <t xml:space="preserve">mantencion , pintado </t>
  </si>
  <si>
    <t>cambio de valvulas , presostato</t>
  </si>
  <si>
    <t xml:space="preserve">bobinado cambio rodamiento </t>
  </si>
  <si>
    <t>6306x2</t>
  </si>
  <si>
    <t>MANTENCION ALIMENTADORES DE SMOLT</t>
  </si>
  <si>
    <t>ESTANQUE</t>
  </si>
  <si>
    <t>ALIMENTADOR</t>
  </si>
  <si>
    <t>FECHA</t>
  </si>
  <si>
    <t>ESTADO</t>
  </si>
  <si>
    <t>OBSERVACION</t>
  </si>
  <si>
    <t>a</t>
  </si>
  <si>
    <t>b</t>
  </si>
  <si>
    <t>MANTENCION FOCOSS DE SMOLT</t>
  </si>
  <si>
    <t>FOCO</t>
  </si>
  <si>
    <t>n° serie</t>
  </si>
  <si>
    <t>tipo</t>
  </si>
  <si>
    <t>c</t>
  </si>
  <si>
    <t>d</t>
  </si>
  <si>
    <t>CARCAZA</t>
  </si>
  <si>
    <t>mantencion actuadores neumaticos</t>
  </si>
  <si>
    <t>bobinado</t>
  </si>
  <si>
    <t xml:space="preserve">revision </t>
  </si>
  <si>
    <t xml:space="preserve">cambio cabezal completo de compresor </t>
  </si>
  <si>
    <t>cambio de reguladores de caudal actuadores</t>
  </si>
  <si>
    <t xml:space="preserve">cambio de aceite </t>
  </si>
  <si>
    <t>mant julio</t>
  </si>
  <si>
    <t>camb cabezal</t>
  </si>
  <si>
    <t>hatchery</t>
  </si>
  <si>
    <t xml:space="preserve">mantencion completa, eje quebrado , base quebrada , camb sello </t>
  </si>
  <si>
    <t xml:space="preserve">cambio rodamientos,pintado, retenes </t>
  </si>
  <si>
    <t>cambio rodamientos, pintado, retenes</t>
  </si>
  <si>
    <t>cambio cables bb retorno</t>
  </si>
  <si>
    <t>valvulas  oxigeno emergencia</t>
  </si>
  <si>
    <t>cambio de valvilas sheck est 1al 16</t>
  </si>
  <si>
    <t>mantencion valvulas sheck</t>
  </si>
  <si>
    <t>Plan mensual julio   2013</t>
  </si>
  <si>
    <t>mantenimiento caracol ,cambio retenes rodamiento 6310 x3  4retenes 60x85x10 1reten 45x68x12</t>
  </si>
  <si>
    <t>mant bba</t>
  </si>
  <si>
    <t>mant f.O.</t>
  </si>
  <si>
    <t xml:space="preserve">Indura estanques </t>
  </si>
  <si>
    <t xml:space="preserve">se realiza mantencion , cambio letreros </t>
  </si>
  <si>
    <t>se realiza instalacion linea trifasica 63 Amp</t>
  </si>
  <si>
    <t>cambio display estat. 10 ,16,8</t>
  </si>
  <si>
    <t>cambio cable alimetacion cordon 4x2,5</t>
  </si>
  <si>
    <t>cambio pera nivel</t>
  </si>
  <si>
    <t xml:space="preserve">mantencion completa a bomba pintado </t>
  </si>
  <si>
    <t>cambio de sello, cambio aceite dielectrico</t>
  </si>
  <si>
    <t xml:space="preserve">mantencion motor </t>
  </si>
  <si>
    <t>mantenimiento Bba. Presion 1 Hatchery</t>
  </si>
  <si>
    <t>mantenimiento Bba. Presion 2 Hatchery</t>
  </si>
  <si>
    <t>Mantenimiento Bba. Circulacion 1 hatch</t>
  </si>
  <si>
    <t>Mantenimiento Bba. Circulacion 2 hatch</t>
  </si>
  <si>
    <t>Revision alimentacion completa electrica</t>
  </si>
  <si>
    <t>mantencion Uv salida hatchery</t>
  </si>
  <si>
    <t>cambio oring valvula motrizada Hatch</t>
  </si>
  <si>
    <t>Mantencion Bomba  rotatorio Hatch</t>
  </si>
  <si>
    <t>se repara fuga de condensador y se carga 10kg refrigerante</t>
  </si>
  <si>
    <t xml:space="preserve">revision completa </t>
  </si>
  <si>
    <t xml:space="preserve">fecha </t>
  </si>
  <si>
    <t>cambio manometros</t>
  </si>
  <si>
    <t>cambio valvula Nc sist cal</t>
  </si>
  <si>
    <t>1-7-2013 a 21-8-13</t>
  </si>
  <si>
    <t>instalacion 15 carcazas alimentadores</t>
  </si>
  <si>
    <t>mantencion completa todos rodamientos, fabricacion estanque compresor</t>
  </si>
  <si>
    <t>PLAN DE MANTENIMIENTO 2014</t>
  </si>
  <si>
    <t>PLAN DE MANTENIMIENTO 2015</t>
  </si>
  <si>
    <t xml:space="preserve">mantenimiento bomba lav biofiltro </t>
  </si>
  <si>
    <t xml:space="preserve">lubricado seleccionadora smolt </t>
  </si>
  <si>
    <t>pintado fry</t>
  </si>
  <si>
    <t>mantenimiento soplador 1 fry</t>
  </si>
  <si>
    <t>mantenimiento soplador 2 fry</t>
  </si>
  <si>
    <t>mantenimiento ventiladores trikling 1</t>
  </si>
  <si>
    <t>mantenimiento ventiladores trikling 2</t>
  </si>
  <si>
    <t>mantenimiento ventiladores trikling 3</t>
  </si>
  <si>
    <t>mantenimiento ventiladores trikling 4</t>
  </si>
  <si>
    <t>mantenimiento ventiladores trikling 5</t>
  </si>
  <si>
    <t>mantenimiento ventiladores trikling 6</t>
  </si>
  <si>
    <t>mantenimiento valvulas medicinales smolt</t>
  </si>
  <si>
    <t>mantenimeinto valvulas medicinales smolt</t>
  </si>
  <si>
    <t xml:space="preserve">    </t>
  </si>
  <si>
    <t>rep fuga</t>
  </si>
  <si>
    <t>Bombas desgasificador 17</t>
  </si>
  <si>
    <t>Bombas desgasificador 18</t>
  </si>
  <si>
    <t>Bombas desgasificador 19</t>
  </si>
  <si>
    <t>Bombas desgasificador 20</t>
  </si>
  <si>
    <t>garantia</t>
  </si>
  <si>
    <t>cambio kit</t>
  </si>
  <si>
    <t>cambio de sello y rodamientos</t>
  </si>
  <si>
    <t>garantia ,cambio de sello bobinado</t>
  </si>
  <si>
    <t>Bombas desgasificadortes 17</t>
  </si>
  <si>
    <t>Bombas desgasificadortes 18</t>
  </si>
  <si>
    <t>Bombas desgasificadortes 19</t>
  </si>
  <si>
    <t>Bombas desgasificadortes  20</t>
  </si>
  <si>
    <t>1-5-2013 al 30-7-13</t>
  </si>
  <si>
    <t>mantencion alimentadores</t>
  </si>
  <si>
    <t>mantencion bomba glicol</t>
  </si>
  <si>
    <t>cambio de sello, cambio tapa</t>
  </si>
  <si>
    <t>mantencion bombas de agua 1y 2</t>
  </si>
  <si>
    <t>valvula medicinal</t>
  </si>
  <si>
    <t>cambio valvula est 6y 14</t>
  </si>
  <si>
    <t>cambio de cable fuerza desde tablero</t>
  </si>
  <si>
    <t>traspaletas fry</t>
  </si>
  <si>
    <t>traspaletas smolt</t>
  </si>
  <si>
    <t>mantecion completa</t>
  </si>
  <si>
    <t>mantencion completa,</t>
  </si>
  <si>
    <t>saca motor</t>
  </si>
  <si>
    <t>cambio  cabezal nuevo</t>
  </si>
  <si>
    <t xml:space="preserve">quemado motor , bobinado </t>
  </si>
  <si>
    <t>ventilador Bba b</t>
  </si>
  <si>
    <t>6205y 6206 reten 30-47-7</t>
  </si>
  <si>
    <t>ventilador inyeccion 7</t>
  </si>
  <si>
    <t>ventilador inyeccion 8</t>
  </si>
  <si>
    <t>cambio de reductor por uno nuevo</t>
  </si>
  <si>
    <t>mantencion cambio kit sello</t>
  </si>
  <si>
    <t>mantencion cambio sello</t>
  </si>
  <si>
    <t>mantencion bba. Circulacion</t>
  </si>
  <si>
    <t>bb circ</t>
  </si>
  <si>
    <t>mantencion bba circula 1y 2</t>
  </si>
  <si>
    <t>6205-6204</t>
  </si>
  <si>
    <t xml:space="preserve">revision ok </t>
  </si>
  <si>
    <t>mantencion a motor, cambio piñonataque, cambio de pera</t>
  </si>
  <si>
    <t>cambio bomba uv salida</t>
  </si>
  <si>
    <t>4 al 12 octubre 2013</t>
  </si>
  <si>
    <t>cambio de carcazas nuevas a todos los alimetadores fry ong</t>
  </si>
  <si>
    <t>intalacion compresor nuevo shuls</t>
  </si>
  <si>
    <t>mantencion cambio eje impulsor</t>
  </si>
  <si>
    <t>cambio de tarjeta de reles</t>
  </si>
  <si>
    <t>mantenimiento bombas de retorno 1</t>
  </si>
  <si>
    <t>mantenimiento bombas de retorno 2</t>
  </si>
  <si>
    <t>mantenimiento bombas de retorno 3</t>
  </si>
  <si>
    <t>mantenimiento bombas de retorno 4</t>
  </si>
  <si>
    <t>mantenimiento bombas de retorno 5</t>
  </si>
  <si>
    <t>mantenimiento bombas de retorno 6</t>
  </si>
  <si>
    <t>mantenimiento bombas de retorno 7</t>
  </si>
  <si>
    <t>mantenimiento bombas de retorno 8</t>
  </si>
  <si>
    <t>mantenimiento bombas de retorno 9</t>
  </si>
  <si>
    <t>mantenimiento bombas de retorno 10</t>
  </si>
  <si>
    <t>cam aceite</t>
  </si>
  <si>
    <t>camb sello</t>
  </si>
  <si>
    <t>motor compresor fry</t>
  </si>
  <si>
    <t>Plan mensual Enero 2013</t>
  </si>
  <si>
    <t>mantencion ruedas FTR 1 smolt</t>
  </si>
  <si>
    <t>mantencion ruedas FTR 2 smolt</t>
  </si>
  <si>
    <t>mantencion ruedas FTR 3 smolt</t>
  </si>
  <si>
    <t>mantencion ruedas FTR 4 smolt</t>
  </si>
  <si>
    <t>cambio rodamientos motor reductor FTR</t>
  </si>
  <si>
    <t>soplador smolt (filtro rotatorio)</t>
  </si>
  <si>
    <t>soplador mortalidad smolt</t>
  </si>
  <si>
    <t>mantencion bombas de sal 1</t>
  </si>
  <si>
    <t>mantencion bombas de sal 2</t>
  </si>
  <si>
    <t xml:space="preserve">mantencion reductores valvulas ingreso </t>
  </si>
  <si>
    <t xml:space="preserve">nuevo </t>
  </si>
  <si>
    <t>vol inox</t>
  </si>
  <si>
    <t>rev</t>
  </si>
  <si>
    <t>nueva</t>
  </si>
  <si>
    <t xml:space="preserve">Pisicultura Sta Juana </t>
  </si>
  <si>
    <t>Departamento de Mantenimiento</t>
  </si>
  <si>
    <t>upgrade</t>
  </si>
  <si>
    <t>humedad</t>
  </si>
  <si>
    <t>ballast</t>
  </si>
  <si>
    <t>situacion</t>
  </si>
  <si>
    <t xml:space="preserve">Fecha istalacion </t>
  </si>
  <si>
    <t xml:space="preserve">horometro 1er cambio </t>
  </si>
  <si>
    <t xml:space="preserve">Fecha de 1er cambio </t>
  </si>
  <si>
    <t>ok</t>
  </si>
  <si>
    <t>descripcion</t>
  </si>
  <si>
    <t>Horometro 2do cambio</t>
  </si>
  <si>
    <t>8000 H</t>
  </si>
  <si>
    <t xml:space="preserve">cambio de lamparas </t>
  </si>
  <si>
    <t xml:space="preserve">Fecha de 2do cambio </t>
  </si>
  <si>
    <t>UV 1 Hatchery</t>
  </si>
  <si>
    <t>Lamparas</t>
  </si>
  <si>
    <t>N°2</t>
  </si>
  <si>
    <t>N°3</t>
  </si>
  <si>
    <t>N°4</t>
  </si>
  <si>
    <t>N°5</t>
  </si>
  <si>
    <t>N°6</t>
  </si>
  <si>
    <t>N°7</t>
  </si>
  <si>
    <t>N°1</t>
  </si>
  <si>
    <t>N°8</t>
  </si>
  <si>
    <t>fecha instalacion</t>
  </si>
  <si>
    <t xml:space="preserve">Numero de lamparas </t>
  </si>
  <si>
    <t>lamparas y ballast</t>
  </si>
  <si>
    <t>cambio de quarzo</t>
  </si>
  <si>
    <t xml:space="preserve">Mantenciony cambio de lampara </t>
  </si>
  <si>
    <t>24000 H</t>
  </si>
  <si>
    <t>Fecha cambio de quarzo</t>
  </si>
  <si>
    <t>horometro cambio de quarzo</t>
  </si>
  <si>
    <t>horometro 3er cambio lamparas</t>
  </si>
  <si>
    <t>Fecha de 2do cambio lamaparas</t>
  </si>
  <si>
    <t xml:space="preserve">fecha 3er cambio lamparas </t>
  </si>
  <si>
    <t>Filtro UV Hatchery</t>
  </si>
  <si>
    <t xml:space="preserve">horometro 4to cambio de lamparas </t>
  </si>
  <si>
    <t xml:space="preserve">fecha de 4to cambio lamparas </t>
  </si>
  <si>
    <t xml:space="preserve">Descripcion actividad </t>
  </si>
  <si>
    <t xml:space="preserve">Fecha </t>
  </si>
  <si>
    <t>Horometro</t>
  </si>
  <si>
    <t xml:space="preserve">Horas </t>
  </si>
  <si>
    <t>Estado ballast</t>
  </si>
  <si>
    <t>cambio cuarzo</t>
  </si>
  <si>
    <t xml:space="preserve">cambio lamparas </t>
  </si>
  <si>
    <t xml:space="preserve">Estado de </t>
  </si>
  <si>
    <t>lamparas</t>
  </si>
  <si>
    <t>UV hatchery Descarga</t>
  </si>
  <si>
    <t>rod ruedas</t>
  </si>
  <si>
    <t>roda bba</t>
  </si>
  <si>
    <t>quemado reparado</t>
  </si>
  <si>
    <t>cambio de lamparas uv</t>
  </si>
  <si>
    <t xml:space="preserve">cambio aceite filtro </t>
  </si>
  <si>
    <t>Mantencion completa , cambio de todos los rodamientos</t>
  </si>
  <si>
    <t>secarga 6 kilos R407</t>
  </si>
  <si>
    <t xml:space="preserve">cambio rodamientos bovinado </t>
  </si>
  <si>
    <t>Planilla asistencia billund</t>
  </si>
  <si>
    <t xml:space="preserve">nombre 1 tecnico </t>
  </si>
  <si>
    <t>nombre 2 tecnico</t>
  </si>
  <si>
    <t xml:space="preserve">Hora de llegada </t>
  </si>
  <si>
    <t xml:space="preserve">trabajo a realizar </t>
  </si>
  <si>
    <t>C.Zurita</t>
  </si>
  <si>
    <t xml:space="preserve">Luis / pablo </t>
  </si>
  <si>
    <t xml:space="preserve">Mantenimiento bomba de calor </t>
  </si>
  <si>
    <t xml:space="preserve">debe </t>
  </si>
  <si>
    <t xml:space="preserve">mant completa </t>
  </si>
  <si>
    <t xml:space="preserve">mante </t>
  </si>
  <si>
    <t>falla eje cam kit</t>
  </si>
  <si>
    <t>noviembre</t>
  </si>
  <si>
    <t>Mantenimiento  ventiladores trickling</t>
  </si>
  <si>
    <t xml:space="preserve">N° 1, N° 2,N°3, </t>
  </si>
  <si>
    <t xml:space="preserve">N° 4, N° 5,N°6, </t>
  </si>
  <si>
    <t xml:space="preserve">considerar retenes , rodamientos </t>
  </si>
  <si>
    <t xml:space="preserve">N° 7, N° 8, </t>
  </si>
  <si>
    <t>sellado motor, pernos , pintura</t>
  </si>
  <si>
    <t xml:space="preserve">Bomba lavado biofiltro </t>
  </si>
  <si>
    <t xml:space="preserve">Reductor de cal </t>
  </si>
  <si>
    <t>agua cambio fuente barnis tarjetas</t>
  </si>
  <si>
    <t>mantecion valvulas oxigeno emergencia</t>
  </si>
  <si>
    <t xml:space="preserve">valvulas oxigeno emergencia </t>
  </si>
  <si>
    <t xml:space="preserve">bomba lavado biofiltro </t>
  </si>
  <si>
    <t>bombas de sal 1</t>
  </si>
  <si>
    <t>bomba de sal 2</t>
  </si>
  <si>
    <t xml:space="preserve">seccionadoras fry </t>
  </si>
  <si>
    <t xml:space="preserve">seleccionadora smolt </t>
  </si>
  <si>
    <t xml:space="preserve">reductor cal </t>
  </si>
  <si>
    <t>terminar detalles pendientes , Bba. Tecnica pompe</t>
  </si>
  <si>
    <t xml:space="preserve">pintura bombas , detalles </t>
  </si>
  <si>
    <t>diciembre</t>
  </si>
  <si>
    <t>bomba de presion 18</t>
  </si>
  <si>
    <t xml:space="preserve">soplador mortalidad smolt </t>
  </si>
  <si>
    <t xml:space="preserve">soplador 2 smolt </t>
  </si>
  <si>
    <t xml:space="preserve">valvulas solenoides </t>
  </si>
  <si>
    <t xml:space="preserve">compresor smolt </t>
  </si>
  <si>
    <t>soplador 1 fry</t>
  </si>
  <si>
    <t xml:space="preserve">soplador 2 fry </t>
  </si>
  <si>
    <t xml:space="preserve">bomba retrorno 11 actuador </t>
  </si>
  <si>
    <t xml:space="preserve">bomba retorno 12 actuador </t>
  </si>
  <si>
    <t xml:space="preserve">bomba retorno 13 actuador </t>
  </si>
  <si>
    <t xml:space="preserve">bomba retorno 14 actuador </t>
  </si>
  <si>
    <t xml:space="preserve">bomba retorno 15 actuador </t>
  </si>
  <si>
    <t xml:space="preserve">bomba retorno 16 actuador </t>
  </si>
  <si>
    <t xml:space="preserve">bomba retorno 17 actuador </t>
  </si>
  <si>
    <t xml:space="preserve">bomba retorno 18 actuador </t>
  </si>
  <si>
    <t xml:space="preserve">bomba retorno 19 actuador </t>
  </si>
  <si>
    <t xml:space="preserve">bomba retorno 20 actuador </t>
  </si>
  <si>
    <t xml:space="preserve">bomba retorno 21 actuador </t>
  </si>
  <si>
    <t xml:space="preserve">bomba retorno 22 actuador </t>
  </si>
  <si>
    <t xml:space="preserve">bomba de agua caliente smolt </t>
  </si>
  <si>
    <t>valvulas motorizada sal</t>
  </si>
  <si>
    <t>valvula motorizada ingreso agua sal</t>
  </si>
  <si>
    <t xml:space="preserve">bomba lombrifiltro 3 </t>
  </si>
  <si>
    <t xml:space="preserve">bomba lombrifiltro 4 </t>
  </si>
  <si>
    <t xml:space="preserve">Raspado de boluta bomba de retorno </t>
  </si>
  <si>
    <t>reaprete tablero smolt</t>
  </si>
  <si>
    <t xml:space="preserve">reaprete tablero fry </t>
  </si>
  <si>
    <t xml:space="preserve">bomba de retorno 9 actuador </t>
  </si>
  <si>
    <t xml:space="preserve">bomba de retorno 8 actuador </t>
  </si>
  <si>
    <t xml:space="preserve">bomba  retorno 10 actuador neumatico  </t>
  </si>
  <si>
    <t xml:space="preserve">Bomaba de retorno 7 actuador </t>
  </si>
  <si>
    <t xml:space="preserve">Bomaba de retorno 6 actuador </t>
  </si>
  <si>
    <t xml:space="preserve">Bomaba de retorno 5 actuador </t>
  </si>
  <si>
    <t xml:space="preserve">Bomaba de retorno 4 actuador </t>
  </si>
  <si>
    <t xml:space="preserve">Bomaba de retorno 3 actuador </t>
  </si>
  <si>
    <t xml:space="preserve">Bomaba de retorno 2 actuador </t>
  </si>
  <si>
    <t xml:space="preserve">Bomaba de retorno 1 actuador </t>
  </si>
  <si>
    <t>mantencion y pintura actuadores neumaticos</t>
  </si>
  <si>
    <t xml:space="preserve">lubricacion a todas val oxigeno TK </t>
  </si>
  <si>
    <t>cambio motor</t>
  </si>
  <si>
    <t xml:space="preserve">cambio retenes </t>
  </si>
  <si>
    <t>febrero, marzo</t>
  </si>
  <si>
    <t>cambio rodamiento ventiladores trickling</t>
  </si>
  <si>
    <t>cambio rodamiento ventilador flujo abierto</t>
  </si>
  <si>
    <t>mantencion bombas desgasificador 1</t>
  </si>
  <si>
    <t>mantencion bombas desgasificador 2</t>
  </si>
  <si>
    <t>cambio rodamientos ventilador desgasificadores 1,2</t>
  </si>
  <si>
    <t xml:space="preserve">cambio rodamiento ventilador 3, 4 </t>
  </si>
  <si>
    <t xml:space="preserve">Mantencion bombas desgasificador 3 </t>
  </si>
  <si>
    <t>Mantencion bombas desgasificador 4</t>
  </si>
  <si>
    <t xml:space="preserve">Reaprte tableros fry </t>
  </si>
  <si>
    <t>Revision equipos Hatchery, relleno glicol  reaprete tablero</t>
  </si>
  <si>
    <t xml:space="preserve">cambio impulsor bomba riles </t>
  </si>
  <si>
    <t xml:space="preserve">cambio conectores sensor oxigeno fry </t>
  </si>
  <si>
    <t>matencion valvulas ingreso agua a estanques smolt</t>
  </si>
  <si>
    <t>11, 12, 13, 14, 15 ,16, 17 , 18,19,20</t>
  </si>
  <si>
    <t>1, 2, 3, 4, 5 ,6, 7 , 8,9,10,</t>
  </si>
  <si>
    <t xml:space="preserve">mantencion reductor silo mortalidad </t>
  </si>
  <si>
    <t xml:space="preserve">mantencion alimentadores smolt </t>
  </si>
  <si>
    <t>mantencion alimentadores smolt</t>
  </si>
  <si>
    <t xml:space="preserve">mantencion alimentadores </t>
  </si>
  <si>
    <t>se cambia porta rele y rele 220 Voh</t>
  </si>
  <si>
    <t>cambio de 8 lamparas uv reactor - horometro 31802</t>
  </si>
  <si>
    <t>mantenimiento, cambio de rodamientos 6204 - 6201</t>
  </si>
  <si>
    <t>mantención, cambio rodamiento 6205 - 6004</t>
  </si>
  <si>
    <t>mantención, cambio de rodamientos 6305 - 6205</t>
  </si>
  <si>
    <t>matención, rodameinto 6205 - 6004</t>
  </si>
  <si>
    <t>cambio rodamientos 6204</t>
  </si>
  <si>
    <t>revision de conectores de bombas</t>
  </si>
  <si>
    <t>cambio horometro 3307 y revision de bomba sumergible</t>
  </si>
  <si>
    <t>cambio de ampolletas; cambio de 3 ampolletas</t>
  </si>
  <si>
    <t xml:space="preserve"> 09-07-2014</t>
  </si>
  <si>
    <t xml:space="preserve">   revision motorreductor y nivel de aceite</t>
  </si>
  <si>
    <t>cambio de 3 ampolletas</t>
  </si>
  <si>
    <t>revision desconectadores de bombas</t>
  </si>
  <si>
    <t>carga de glicol, cambio de oring y bomba lowara</t>
  </si>
  <si>
    <t>revision y limpieza</t>
  </si>
  <si>
    <t>reparacion y cambio de valvula 75 mm ingreso de agua .</t>
  </si>
  <si>
    <t>sensor de temperatura</t>
  </si>
  <si>
    <t>cambio de sensor de temperatura</t>
  </si>
  <si>
    <t>revison de valvulas del 1 al 4</t>
  </si>
  <si>
    <t>cambio de conector del 2,15,17 y 30</t>
  </si>
  <si>
    <t>intalacion ventilador trikling flujo abierto</t>
  </si>
  <si>
    <t>cambio conectres canon hembra est. 18 y 20</t>
  </si>
  <si>
    <t>reparacion de tablero y cambio de conectores</t>
  </si>
  <si>
    <t>revicion y cambio de enchufes en guias electricas (M Y H)</t>
  </si>
  <si>
    <t>cambio de valvulas de bola.</t>
  </si>
  <si>
    <t>inyectores de temperatura</t>
  </si>
  <si>
    <t>mantencion a intyectores 3 y 4</t>
  </si>
  <si>
    <t>cambio de sensor de tempartura</t>
  </si>
  <si>
    <t>mantencion a motor principal</t>
  </si>
  <si>
    <t>cambio de concetores canon a los alimentadores.</t>
  </si>
  <si>
    <t>cambio de contactores (bb lavado, bb flujo abierto)</t>
  </si>
  <si>
    <t>conectores de oxigeno ongrowing</t>
  </si>
  <si>
    <t>tarjetas de alimetadores</t>
  </si>
  <si>
    <t>cambio de tarjetas</t>
  </si>
  <si>
    <t>reparacion completa de bomba por falla.</t>
  </si>
  <si>
    <t>cambio de ruedas, por desgaste donde asienta rodamiento</t>
  </si>
  <si>
    <t>mantencion a tarjetas de tablero.</t>
  </si>
  <si>
    <t>mantencion completa a motor</t>
  </si>
  <si>
    <t>instalacion fuente de poder y algunas tarjetas faltantes.</t>
  </si>
  <si>
    <t>febrero</t>
  </si>
  <si>
    <t>caja reductoras de ingreso agua</t>
  </si>
  <si>
    <t>mantencion est. 1,4,5,6 y 8</t>
  </si>
  <si>
    <t>ventiladores desgasificadores 17</t>
  </si>
  <si>
    <t>ventiladores desgasificadores 18</t>
  </si>
  <si>
    <t>ventiladores desgasificadores 19</t>
  </si>
  <si>
    <t>ventiladores desgasificadores 20</t>
  </si>
  <si>
    <t>revision completa</t>
  </si>
  <si>
    <t>malo</t>
  </si>
  <si>
    <t>motor quemado</t>
  </si>
  <si>
    <t>bomba circuladora de sal</t>
  </si>
  <si>
    <t>mantencion est. 9,10,11,12,13</t>
  </si>
  <si>
    <t>instalacion de trikling nuevo</t>
  </si>
  <si>
    <t>mantencion est. 2,3 y 6</t>
  </si>
  <si>
    <t>13-01.2014</t>
  </si>
  <si>
    <t xml:space="preserve">revision de aislacion </t>
  </si>
  <si>
    <t>instalar</t>
  </si>
  <si>
    <t xml:space="preserve">instalacion de trikling </t>
  </si>
  <si>
    <t>instalacion y reparcion</t>
  </si>
  <si>
    <t>montaje de bomba</t>
  </si>
  <si>
    <t>6308 x 2</t>
  </si>
  <si>
    <t>pintado de motor</t>
  </si>
  <si>
    <t>pintado de bombas</t>
  </si>
  <si>
    <t>cambio de valvulas 2 al 9</t>
  </si>
  <si>
    <t>cambio en est. 10 y 4</t>
  </si>
  <si>
    <t>termino de instalacion</t>
  </si>
  <si>
    <t>reparacion de linea de agua</t>
  </si>
  <si>
    <t>reparacion por falla de rodamiento</t>
  </si>
  <si>
    <t xml:space="preserve">mantencion </t>
  </si>
  <si>
    <t>13-03.2014</t>
  </si>
  <si>
    <t>mentencion</t>
  </si>
  <si>
    <t>bomba ap-12</t>
  </si>
  <si>
    <t>instalacion en sector bombas cr</t>
  </si>
  <si>
    <t>rutina</t>
  </si>
  <si>
    <t>motores</t>
  </si>
  <si>
    <t>cambio de componentes electricos comandados para el bomba 18</t>
  </si>
  <si>
    <t>mantencion y chequeo completo</t>
  </si>
  <si>
    <t>instalacion de motor a bomba</t>
  </si>
  <si>
    <t>tablero de desgasificador</t>
  </si>
  <si>
    <t>reaprete y ajuste de tablero</t>
  </si>
  <si>
    <t>istalacion</t>
  </si>
  <si>
    <t>mala y cambio de fuente de poder</t>
  </si>
  <si>
    <t>cambio de motor quemado</t>
  </si>
  <si>
    <t>dispensado</t>
  </si>
  <si>
    <t>dispensador mal ajustado</t>
  </si>
  <si>
    <t>cable malo</t>
  </si>
  <si>
    <t>cambio de cable</t>
  </si>
  <si>
    <t>se instala motor</t>
  </si>
  <si>
    <t>mal estado dosificador</t>
  </si>
  <si>
    <t>se cambia dosificador completo</t>
  </si>
  <si>
    <t>fuente de poder mala</t>
  </si>
  <si>
    <t>cambio de fuente</t>
  </si>
  <si>
    <t>cambio de rodamientos a motor</t>
  </si>
  <si>
    <t>sopaldor para planta riles</t>
  </si>
  <si>
    <t>cambio contactores bomba 2 y 3</t>
  </si>
  <si>
    <t>instalacion por mantencion</t>
  </si>
  <si>
    <t>reparacion e instalacion</t>
  </si>
  <si>
    <t>cambio de motor, por estar quemado</t>
  </si>
  <si>
    <t>mantencion a motor</t>
  </si>
  <si>
    <t>roto</t>
  </si>
  <si>
    <t>cambio de dosificador y dispensador</t>
  </si>
  <si>
    <t>malos</t>
  </si>
  <si>
    <t>reparacion</t>
  </si>
  <si>
    <t>pintado de bomsbas</t>
  </si>
  <si>
    <t>carcaza mala</t>
  </si>
  <si>
    <t>cambio por una nueva</t>
  </si>
  <si>
    <t>cambio de carcaza</t>
  </si>
  <si>
    <t>caracza mala</t>
  </si>
  <si>
    <t>cambio de carcaza por nueva</t>
  </si>
  <si>
    <t>cambio de ella</t>
  </si>
  <si>
    <t>cable desconctado</t>
  </si>
  <si>
    <t>reparacion completa por daño</t>
  </si>
  <si>
    <t>mantencion de rodamientos y motores</t>
  </si>
  <si>
    <t>reparacion final de bomba</t>
  </si>
  <si>
    <t>determina sofware con problema</t>
  </si>
  <si>
    <t>cambio de valvula motorizada y ventidador de bomba</t>
  </si>
  <si>
    <t>cambio de rodamientos y correas</t>
  </si>
  <si>
    <t xml:space="preserve"> calendario 2014</t>
  </si>
  <si>
    <t>calendario 2015</t>
  </si>
  <si>
    <t>se cambia por la reparada y se lelva al taller</t>
  </si>
  <si>
    <t>cambio de fuente de poder</t>
  </si>
  <si>
    <t>enchufe industrial malo</t>
  </si>
  <si>
    <t>se cambia encgufe por uno nuevo</t>
  </si>
  <si>
    <t>corto circuito interructores</t>
  </si>
  <si>
    <t>se repara corto circuito, ademas falta lampara</t>
  </si>
  <si>
    <t>lampara faltante</t>
  </si>
  <si>
    <t>se instala lampara faltante N°221</t>
  </si>
  <si>
    <t>reaprete de tablero y de bomsbas</t>
  </si>
  <si>
    <t>bomba combustible</t>
  </si>
  <si>
    <t>reaprete componentes de equipo chiller</t>
  </si>
  <si>
    <t>reparacion de motor y bomba</t>
  </si>
  <si>
    <t>cambio de motor en mal estado</t>
  </si>
  <si>
    <t>carcaza quebradas</t>
  </si>
  <si>
    <t>carcaza quebrada</t>
  </si>
  <si>
    <t>cambio de cables contactores todo los equipos</t>
  </si>
  <si>
    <t>fecha 2013</t>
  </si>
  <si>
    <t>fecha 2014</t>
  </si>
  <si>
    <t>fecha 2015</t>
  </si>
  <si>
    <t>fecha 2014 -2015</t>
  </si>
  <si>
    <t>fecha 2012</t>
  </si>
  <si>
    <t>fecha 2011-2012</t>
  </si>
  <si>
    <t>fecha  2013 - 2014</t>
  </si>
  <si>
    <t>fecha 2014 - 2015</t>
  </si>
  <si>
    <t>cambio y limpiado</t>
  </si>
  <si>
    <t>Ultimo Mantenimiento 2009</t>
  </si>
  <si>
    <t>INTERVENCION 2010</t>
  </si>
  <si>
    <t>Nueva mantencion 2011-2012</t>
  </si>
  <si>
    <t>fecha 2011</t>
  </si>
  <si>
    <t>fecha 2012 -2013</t>
  </si>
  <si>
    <t>fecha 2013-2014</t>
  </si>
  <si>
    <t>Nueva mantencion 2011</t>
  </si>
  <si>
    <t>fecha 2011 - 2012</t>
  </si>
  <si>
    <t>reparacion por desgatse y retenes</t>
  </si>
  <si>
    <t>20-06-2014;       11-08-2014</t>
  </si>
  <si>
    <t>FECHA 2014</t>
  </si>
  <si>
    <t>FECHA 2015</t>
  </si>
  <si>
    <t xml:space="preserve"> b</t>
  </si>
  <si>
    <t xml:space="preserve">ventiladores tricking </t>
  </si>
  <si>
    <t>ventiladores tricking  flujo abierto</t>
  </si>
  <si>
    <t>cambio de ventilador nuevo.</t>
  </si>
  <si>
    <t>cambio de motor de dispersador, por cambio de rodamientos</t>
  </si>
  <si>
    <t>cambio de motor de dispersador, por cambio de rodamientos y carcasa quebrada.</t>
  </si>
  <si>
    <t>cambio de motor de dispensador, por cambio de rodamientos</t>
  </si>
  <si>
    <t>linea electrica mala</t>
  </si>
  <si>
    <t>correctiva</t>
  </si>
  <si>
    <t>reparacion a linea electrica del foco, problema por humedad</t>
  </si>
  <si>
    <t>cambio de tubos, limpieza y calibracion</t>
  </si>
  <si>
    <t>revision y reparacion de cables en mal estado.</t>
  </si>
  <si>
    <t>revision de sistema se repara cable asulfatado.</t>
  </si>
  <si>
    <t>cambio de ruedas por desgaste, rodamientos y retenes</t>
  </si>
  <si>
    <t>cambio de riel a bandeja de comhatch</t>
  </si>
  <si>
    <t>mantencion, cambio de rodamiento 6205-6004</t>
  </si>
  <si>
    <t>cambio de 8 lampara uv -38.881 hrs.</t>
  </si>
  <si>
    <t>cambio de 4 lamparas uv - 4789 hrs.</t>
  </si>
  <si>
    <t>mantencion a reductor- cambio de retenes y cambio de aceite.</t>
  </si>
  <si>
    <t>revision de valvula.</t>
  </si>
  <si>
    <t>reaprete de tablero</t>
  </si>
  <si>
    <t>revision de desconectadores</t>
  </si>
  <si>
    <t>VENTILADOR TRICKLING 7</t>
  </si>
  <si>
    <t>VENTILADOR TRICKLING 8</t>
  </si>
  <si>
    <t>Mantencion completa.</t>
  </si>
  <si>
    <t>mantencion completa (6209 - 6208)</t>
  </si>
  <si>
    <t>mantencion completa (6206 x 2)</t>
  </si>
  <si>
    <t>mantencion a todas las valvulas.</t>
  </si>
  <si>
    <t>mantencion a todos los alimentadores.</t>
  </si>
  <si>
    <t>cambio de sello</t>
  </si>
  <si>
    <t>pintado y cambio rodamiento (6301 - 6304)</t>
  </si>
  <si>
    <t>mantencion completa.</t>
  </si>
  <si>
    <t>cambio de sensor y pantalla</t>
  </si>
  <si>
    <t>cambio de reductor</t>
  </si>
  <si>
    <t>cambio de ruedas por desgaste, rodamientos y retenes, mantencion reductor</t>
  </si>
  <si>
    <t>chequeo de bomba</t>
  </si>
  <si>
    <t>reparacion de riel</t>
  </si>
  <si>
    <t>mantencion bomba chiller ( 6204 - 6205)</t>
  </si>
  <si>
    <t>se cambia contactor</t>
  </si>
  <si>
    <t>sevision de sensor ultrasonido</t>
  </si>
  <si>
    <t>30/03/2015              8/06/2015</t>
  </si>
  <si>
    <t>cambio de rodamientos motor de bomba             se  cambia sello de bomba</t>
  </si>
  <si>
    <t>cambio de piston, biela y empaquetadura</t>
  </si>
  <si>
    <t>mantencion a reductor y ruedas</t>
  </si>
  <si>
    <t>mantencion  a reductor y ruedas</t>
  </si>
  <si>
    <t>reparacion acturador bomba retorno 14</t>
  </si>
  <si>
    <t>cambio de valvula estanque 7, 8,15</t>
  </si>
  <si>
    <t>chequeo de bomba cr. (ok)</t>
  </si>
  <si>
    <t>cambio rodamientos y retenes a ejes; cambio de aceite a reductores; goma perimetral; cadena.</t>
  </si>
  <si>
    <t>se soldan tuberias succion cr</t>
  </si>
  <si>
    <t>mantencion a valvula estanque 7</t>
  </si>
  <si>
    <t>cambio de riel por uno nuevo.</t>
  </si>
  <si>
    <t>mantencion completa (6205 x 2)</t>
  </si>
  <si>
    <t>mantencion completa (6205 - 6004)</t>
  </si>
  <si>
    <t>mantencion motor (6209 x 2)</t>
  </si>
  <si>
    <t>mantencion a motores ( 6307 - 6206)</t>
  </si>
  <si>
    <t>mantencion a motores ( 6307 - 6206); se cambia impeler</t>
  </si>
  <si>
    <t>se instala nuevamente bomba completa</t>
  </si>
  <si>
    <t>mantencion motor (6209 - 6309)</t>
  </si>
  <si>
    <t>mantencion a motor  y cambio de aceite.</t>
  </si>
  <si>
    <t>cambio de bomba completa por nueva</t>
  </si>
  <si>
    <t>mantencion motor (6209 -6309)</t>
  </si>
  <si>
    <t>se le realiza mantencion por ruido (6208 -6206), reten 40-55-7.</t>
  </si>
  <si>
    <t>mantencion completa (6208 x 2)</t>
  </si>
  <si>
    <t>se instala ventilador faltante</t>
  </si>
  <si>
    <t>realiza mantencion completa ( 6205 - 6206), reten 30-47-7</t>
  </si>
  <si>
    <t>mantencion, cambio de rodamientos (6308- 6206)</t>
  </si>
  <si>
    <t>mantencion, cambio de rodamientos (6308- 6206); secado en horno</t>
  </si>
  <si>
    <t>se realiza mantencion, y se encamiza tapa de motor</t>
  </si>
  <si>
    <t>realiza mantencion (6205-6004)</t>
  </si>
  <si>
    <t>realiza mantencion completa ( 6205 - 6206), reten 30-47-7, se encamizan tapas</t>
  </si>
  <si>
    <t>mantencion completa, rodamiento (6205 - 6206)</t>
  </si>
  <si>
    <t>PLAN DE MANTENIMIENTO 2016</t>
  </si>
  <si>
    <t xml:space="preserve">mantencion, cambio de rodamientos (6308- 6206), cambio de sello </t>
  </si>
  <si>
    <t>cambio de fuente de poder a tablero y el mismo.</t>
  </si>
  <si>
    <t>BOMBA PIN -PIN SMOLT 2</t>
  </si>
  <si>
    <t>fecha 2016</t>
  </si>
  <si>
    <t>cambio contactor cr</t>
  </si>
  <si>
    <t>limpiado alternador</t>
  </si>
  <si>
    <t>rectificar tapa trasera</t>
  </si>
  <si>
    <t>reparacion compresor</t>
  </si>
  <si>
    <t>17/11/2015 - 24/11/2015</t>
  </si>
  <si>
    <t xml:space="preserve">mantencion completa. </t>
  </si>
  <si>
    <t>mantencion, cambio de rodamiento, rectificado de tapa, cambio de sellos, y reaguste.</t>
  </si>
  <si>
    <t>mantencion de bomba, se rectifiacan tapas. (6306 x 2), cambio de sello. Reten 30-47-7</t>
  </si>
  <si>
    <t>reaprete tablero, se cambia contactor bomba CR.</t>
  </si>
  <si>
    <t>mantencion de motor, se rectifican tapas.(6208 X 2)</t>
  </si>
  <si>
    <t>Se revisa refrigerante se carga 1,2 kilos, cambio contactor y mantencion aventilaodres ( 6002 x 2)</t>
  </si>
  <si>
    <t>mantencion a reductor de cal (6306-6205)</t>
  </si>
  <si>
    <t>revision de tablero, cambia placas y  ademas se cambia circuitos integrados que se quemaron.</t>
  </si>
  <si>
    <t xml:space="preserve">mantencion actuadores 5,7,8, 9, 10 y 11. </t>
  </si>
  <si>
    <t>mantencion actuadores 12,13,14,15,16 y 18</t>
  </si>
  <si>
    <t>cambio piston y anillos</t>
  </si>
  <si>
    <t>mantencion bomba circulacion</t>
  </si>
  <si>
    <t>reaprete</t>
  </si>
  <si>
    <t>mantencion completa, rodamientos 5209 - 6208. ( se solda salida de solpador por estar trizada)</t>
  </si>
  <si>
    <t>reparacion  de compresor</t>
  </si>
  <si>
    <t>mantencion completa (6203 - 6306; 30-62-7 ; 35-52-7)</t>
  </si>
  <si>
    <t xml:space="preserve">revision interna. </t>
  </si>
  <si>
    <t>revision de bomba</t>
  </si>
  <si>
    <t xml:space="preserve">se realiza mantencion a bombas de circulacion. </t>
  </si>
  <si>
    <t>mantencion a compresor , cambio de piston y anillos.</t>
  </si>
  <si>
    <t>mantencion completa a compresor, cambio de rodamientos, retenes y aceite.</t>
  </si>
  <si>
    <t>revision y cambio de conectores alimentadores area complata</t>
  </si>
  <si>
    <t>cambio de sello mecanico</t>
  </si>
  <si>
    <t>cambio de rodamientos y limpieza.</t>
  </si>
  <si>
    <t>CAMBIO ACEITE Y FILTROS</t>
  </si>
  <si>
    <t>reaprete a tablero</t>
  </si>
  <si>
    <t>cambio de contactor.</t>
  </si>
  <si>
    <t>mantencion a motores y revision de impeler, cambio rodamiento (6208 x 2)</t>
  </si>
  <si>
    <t>mantencion completa, y pintado.</t>
  </si>
  <si>
    <t>revision de valvulas interiormente y cambio de enchufes a estanque 10 y 16.</t>
  </si>
  <si>
    <t>mantencion completa, cambio rodamiento 6206; mellado y pintado.</t>
  </si>
  <si>
    <t>mantencion a motores y revision de impeler, cambio rodamiento (6208 x 2, se rectifican asiento de rodamientos,</t>
  </si>
  <si>
    <t>reaprete a VLT</t>
  </si>
  <si>
    <t>Mantencion completa cambio rodamientos 6308 x 2; reten 40-52-7</t>
  </si>
  <si>
    <t>reaprete completo</t>
  </si>
  <si>
    <t>reaprete completo y cambio de tarjeta en tablero de onmgrowing</t>
  </si>
  <si>
    <t>termino de mantencion de alimentadores.</t>
  </si>
  <si>
    <t>09/02/2016; 18/04/2016</t>
  </si>
  <si>
    <t>se revisa y repara motor; cambio de sello mecanico</t>
  </si>
  <si>
    <t>cambio de impulsor y regulacion de eje.</t>
  </si>
  <si>
    <t>mantencion completa, limpieza y engrase de componentes</t>
  </si>
  <si>
    <t>embobinado, rectificado de tapas y cambio de rodamientos.</t>
  </si>
  <si>
    <t xml:space="preserve">cambio de rodamiento 6206x2; reten 30-47-7; cambio de sello. </t>
  </si>
  <si>
    <t>instalacion de ventilador nuevo</t>
  </si>
  <si>
    <t>cambio de impulsor</t>
  </si>
  <si>
    <t>embobinado y rectificado de tapas.</t>
  </si>
  <si>
    <t>se cambia por bomba nueva</t>
  </si>
  <si>
    <t>reparacion a tapa nuevamnete por ajuste de rodamiento,</t>
  </si>
  <si>
    <t>BOMBA PIN -PIN SMOLT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</si>
</sst>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20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85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3" borderId="6" xfId="0" applyFill="1" applyBorder="1" applyAlignment="1">
      <alignment horizontal="center" wrapText="1"/>
    </xf>
    <xf numFmtId="14" fontId="0" fillId="3" borderId="6" xfId="0" applyNumberFormat="1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14" fontId="0" fillId="3" borderId="7" xfId="0" applyNumberFormat="1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left" wrapText="1"/>
    </xf>
    <xf numFmtId="0" fontId="0" fillId="5" borderId="0" xfId="0" applyFill="1" applyBorder="1" applyAlignment="1">
      <alignment horizontal="center" wrapText="1"/>
    </xf>
    <xf numFmtId="0" fontId="0" fillId="5" borderId="0" xfId="0" applyFill="1" applyBorder="1" applyAlignment="1">
      <alignment vertical="center" wrapText="1"/>
    </xf>
    <xf numFmtId="0" fontId="0" fillId="5" borderId="0" xfId="0" applyFill="1" applyBorder="1" applyAlignment="1">
      <alignment horizontal="left" wrapText="1"/>
    </xf>
    <xf numFmtId="14" fontId="0" fillId="5" borderId="0" xfId="0" applyNumberFormat="1" applyFill="1" applyBorder="1" applyAlignment="1">
      <alignment horizontal="center" wrapText="1"/>
    </xf>
    <xf numFmtId="0" fontId="0" fillId="5" borderId="0" xfId="0" applyFill="1" applyBorder="1" applyAlignment="1">
      <alignment horizontal="center" vertical="center" wrapText="1"/>
    </xf>
    <xf numFmtId="14" fontId="0" fillId="3" borderId="5" xfId="0" applyNumberForma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8" xfId="0" applyFont="1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0" fillId="7" borderId="8" xfId="0" applyFill="1" applyBorder="1"/>
    <xf numFmtId="17" fontId="0" fillId="2" borderId="0" xfId="0" applyNumberFormat="1" applyFill="1" applyAlignment="1">
      <alignment horizontal="center"/>
    </xf>
    <xf numFmtId="0" fontId="10" fillId="3" borderId="9" xfId="1" applyFill="1" applyBorder="1" applyAlignment="1" applyProtection="1">
      <alignment horizontal="center"/>
    </xf>
    <xf numFmtId="0" fontId="10" fillId="3" borderId="10" xfId="1" applyFill="1" applyBorder="1" applyAlignment="1" applyProtection="1">
      <alignment horizontal="center"/>
    </xf>
    <xf numFmtId="0" fontId="0" fillId="3" borderId="16" xfId="0" applyFont="1" applyFill="1" applyBorder="1" applyAlignment="1">
      <alignment horizontal="left" wrapText="1"/>
    </xf>
    <xf numFmtId="0" fontId="7" fillId="11" borderId="17" xfId="0" applyFont="1" applyFill="1" applyBorder="1" applyAlignment="1">
      <alignment horizontal="left" wrapText="1"/>
    </xf>
    <xf numFmtId="0" fontId="7" fillId="11" borderId="19" xfId="0" applyFont="1" applyFill="1" applyBorder="1" applyAlignment="1">
      <alignment horizontal="left" wrapText="1"/>
    </xf>
    <xf numFmtId="0" fontId="0" fillId="3" borderId="19" xfId="0" applyFont="1" applyFill="1" applyBorder="1" applyAlignment="1">
      <alignment horizontal="left" wrapText="1"/>
    </xf>
    <xf numFmtId="0" fontId="0" fillId="3" borderId="18" xfId="0" applyFill="1" applyBorder="1" applyAlignment="1">
      <alignment horizontal="left" wrapText="1"/>
    </xf>
    <xf numFmtId="0" fontId="0" fillId="3" borderId="19" xfId="0" applyFill="1" applyBorder="1" applyAlignment="1">
      <alignment horizontal="left" wrapText="1"/>
    </xf>
    <xf numFmtId="0" fontId="0" fillId="3" borderId="21" xfId="0" applyFont="1" applyFill="1" applyBorder="1" applyAlignment="1">
      <alignment horizontal="left" wrapText="1"/>
    </xf>
    <xf numFmtId="0" fontId="0" fillId="3" borderId="22" xfId="0" applyFont="1" applyFill="1" applyBorder="1" applyAlignment="1">
      <alignment horizontal="left" wrapText="1"/>
    </xf>
    <xf numFmtId="0" fontId="7" fillId="11" borderId="8" xfId="0" applyFont="1" applyFill="1" applyBorder="1"/>
    <xf numFmtId="0" fontId="0" fillId="9" borderId="8" xfId="0" applyFill="1" applyBorder="1"/>
    <xf numFmtId="0" fontId="0" fillId="11" borderId="8" xfId="0" applyFill="1" applyBorder="1"/>
    <xf numFmtId="0" fontId="0" fillId="11" borderId="19" xfId="0" applyFont="1" applyFill="1" applyBorder="1" applyAlignment="1">
      <alignment horizontal="left" wrapText="1"/>
    </xf>
    <xf numFmtId="0" fontId="0" fillId="12" borderId="8" xfId="0" applyFont="1" applyFill="1" applyBorder="1" applyAlignment="1">
      <alignment horizontal="left" wrapText="1"/>
    </xf>
    <xf numFmtId="0" fontId="0" fillId="11" borderId="8" xfId="0" applyFont="1" applyFill="1" applyBorder="1" applyAlignment="1">
      <alignment horizontal="left" wrapText="1"/>
    </xf>
    <xf numFmtId="0" fontId="0" fillId="12" borderId="8" xfId="0" applyFill="1" applyBorder="1"/>
    <xf numFmtId="0" fontId="7" fillId="9" borderId="13" xfId="0" applyFont="1" applyFill="1" applyBorder="1"/>
    <xf numFmtId="0" fontId="0" fillId="11" borderId="18" xfId="0" applyFill="1" applyBorder="1"/>
    <xf numFmtId="0" fontId="0" fillId="12" borderId="21" xfId="0" applyFill="1" applyBorder="1"/>
    <xf numFmtId="0" fontId="0" fillId="9" borderId="14" xfId="0" applyFill="1" applyBorder="1"/>
    <xf numFmtId="0" fontId="0" fillId="11" borderId="8" xfId="0" applyFill="1" applyBorder="1" applyAlignment="1">
      <alignment horizontal="left" wrapText="1"/>
    </xf>
    <xf numFmtId="0" fontId="9" fillId="3" borderId="6" xfId="0" applyFont="1" applyFill="1" applyBorder="1" applyAlignment="1">
      <alignment horizontal="left" wrapText="1"/>
    </xf>
    <xf numFmtId="0" fontId="2" fillId="9" borderId="13" xfId="0" applyFont="1" applyFill="1" applyBorder="1" applyAlignment="1">
      <alignment horizontal="left" wrapText="1"/>
    </xf>
    <xf numFmtId="0" fontId="0" fillId="3" borderId="15" xfId="0" applyFill="1" applyBorder="1" applyAlignment="1">
      <alignment horizontal="left" wrapText="1"/>
    </xf>
    <xf numFmtId="0" fontId="0" fillId="3" borderId="16" xfId="0" applyFill="1" applyBorder="1" applyAlignment="1">
      <alignment horizontal="left" wrapText="1"/>
    </xf>
    <xf numFmtId="0" fontId="0" fillId="11" borderId="16" xfId="0" applyFill="1" applyBorder="1" applyAlignment="1">
      <alignment horizontal="left" wrapText="1"/>
    </xf>
    <xf numFmtId="0" fontId="0" fillId="3" borderId="17" xfId="0" applyFill="1" applyBorder="1" applyAlignment="1">
      <alignment horizontal="left" wrapText="1"/>
    </xf>
    <xf numFmtId="0" fontId="1" fillId="3" borderId="18" xfId="0" applyFont="1" applyFill="1" applyBorder="1" applyAlignment="1">
      <alignment horizontal="left" wrapText="1"/>
    </xf>
    <xf numFmtId="0" fontId="1" fillId="3" borderId="19" xfId="0" applyFont="1" applyFill="1" applyBorder="1" applyAlignment="1">
      <alignment horizontal="left" wrapText="1"/>
    </xf>
    <xf numFmtId="0" fontId="0" fillId="9" borderId="13" xfId="0" applyFill="1" applyBorder="1"/>
    <xf numFmtId="0" fontId="9" fillId="3" borderId="6" xfId="0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9" fillId="3" borderId="9" xfId="0" applyFont="1" applyFill="1" applyBorder="1" applyAlignment="1">
      <alignment vertical="center" wrapText="1"/>
    </xf>
    <xf numFmtId="14" fontId="9" fillId="3" borderId="9" xfId="0" applyNumberFormat="1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9" fillId="3" borderId="10" xfId="0" applyFont="1" applyFill="1" applyBorder="1" applyAlignment="1">
      <alignment vertical="center" wrapText="1"/>
    </xf>
    <xf numFmtId="14" fontId="9" fillId="3" borderId="10" xfId="0" applyNumberFormat="1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14" fontId="8" fillId="3" borderId="10" xfId="0" applyNumberFormat="1" applyFont="1" applyFill="1" applyBorder="1" applyAlignment="1">
      <alignment horizontal="center" wrapText="1"/>
    </xf>
    <xf numFmtId="0" fontId="9" fillId="3" borderId="9" xfId="0" applyFont="1" applyFill="1" applyBorder="1" applyAlignment="1"/>
    <xf numFmtId="0" fontId="9" fillId="3" borderId="10" xfId="0" applyFont="1" applyFill="1" applyBorder="1" applyAlignment="1"/>
    <xf numFmtId="0" fontId="9" fillId="3" borderId="10" xfId="0" applyFont="1" applyFill="1" applyBorder="1"/>
    <xf numFmtId="0" fontId="1" fillId="11" borderId="8" xfId="0" applyFont="1" applyFill="1" applyBorder="1" applyAlignment="1">
      <alignment horizontal="left" wrapText="1"/>
    </xf>
    <xf numFmtId="0" fontId="9" fillId="11" borderId="8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14" fontId="0" fillId="3" borderId="9" xfId="0" applyNumberFormat="1" applyFill="1" applyBorder="1" applyAlignment="1">
      <alignment horizontal="center" wrapText="1"/>
    </xf>
    <xf numFmtId="0" fontId="0" fillId="3" borderId="10" xfId="0" applyFill="1" applyBorder="1" applyAlignment="1">
      <alignment horizontal="left" wrapText="1"/>
    </xf>
    <xf numFmtId="14" fontId="0" fillId="3" borderId="10" xfId="0" applyNumberFormat="1" applyFill="1" applyBorder="1" applyAlignment="1">
      <alignment horizontal="center" wrapText="1"/>
    </xf>
    <xf numFmtId="0" fontId="9" fillId="3" borderId="10" xfId="0" applyFont="1" applyFill="1" applyBorder="1" applyAlignment="1">
      <alignment horizontal="left" wrapText="1"/>
    </xf>
    <xf numFmtId="0" fontId="0" fillId="3" borderId="10" xfId="0" applyFill="1" applyBorder="1" applyAlignment="1">
      <alignment horizontal="center" vertical="center" wrapText="1"/>
    </xf>
    <xf numFmtId="0" fontId="12" fillId="12" borderId="8" xfId="0" applyFont="1" applyFill="1" applyBorder="1"/>
    <xf numFmtId="0" fontId="0" fillId="0" borderId="0" xfId="0" applyAlignment="1">
      <alignment horizontal="center"/>
    </xf>
    <xf numFmtId="0" fontId="0" fillId="0" borderId="0" xfId="0" applyBorder="1"/>
    <xf numFmtId="0" fontId="3" fillId="12" borderId="8" xfId="0" applyFont="1" applyFill="1" applyBorder="1"/>
    <xf numFmtId="0" fontId="0" fillId="3" borderId="23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9" fillId="3" borderId="6" xfId="0" applyFont="1" applyFill="1" applyBorder="1" applyAlignment="1">
      <alignment horizontal="center" wrapText="1"/>
    </xf>
    <xf numFmtId="0" fontId="9" fillId="3" borderId="23" xfId="0" applyFont="1" applyFill="1" applyBorder="1" applyAlignment="1"/>
    <xf numFmtId="14" fontId="9" fillId="3" borderId="23" xfId="0" applyNumberFormat="1" applyFont="1" applyFill="1" applyBorder="1" applyAlignment="1">
      <alignment horizontal="center" wrapText="1"/>
    </xf>
    <xf numFmtId="14" fontId="9" fillId="3" borderId="25" xfId="0" applyNumberFormat="1" applyFont="1" applyFill="1" applyBorder="1" applyAlignment="1">
      <alignment horizontal="center" wrapText="1"/>
    </xf>
    <xf numFmtId="0" fontId="9" fillId="3" borderId="0" xfId="0" applyFont="1" applyFill="1" applyBorder="1" applyAlignment="1"/>
    <xf numFmtId="14" fontId="9" fillId="3" borderId="0" xfId="0" applyNumberFormat="1" applyFont="1" applyFill="1" applyBorder="1" applyAlignment="1">
      <alignment horizontal="center" wrapText="1"/>
    </xf>
    <xf numFmtId="0" fontId="14" fillId="16" borderId="24" xfId="0" applyFont="1" applyFill="1" applyBorder="1"/>
    <xf numFmtId="0" fontId="14" fillId="16" borderId="28" xfId="0" applyFont="1" applyFill="1" applyBorder="1"/>
    <xf numFmtId="0" fontId="15" fillId="12" borderId="8" xfId="0" applyFont="1" applyFill="1" applyBorder="1"/>
    <xf numFmtId="0" fontId="0" fillId="3" borderId="10" xfId="0" applyFill="1" applyBorder="1" applyAlignment="1">
      <alignment horizontal="center" vertical="center" wrapText="1"/>
    </xf>
    <xf numFmtId="0" fontId="14" fillId="16" borderId="6" xfId="0" applyFont="1" applyFill="1" applyBorder="1"/>
    <xf numFmtId="0" fontId="14" fillId="16" borderId="5" xfId="0" applyFont="1" applyFill="1" applyBorder="1"/>
    <xf numFmtId="0" fontId="0" fillId="3" borderId="30" xfId="0" applyFill="1" applyBorder="1" applyAlignment="1">
      <alignment horizontal="center" wrapText="1"/>
    </xf>
    <xf numFmtId="0" fontId="0" fillId="3" borderId="23" xfId="0" applyFill="1" applyBorder="1" applyAlignment="1">
      <alignment horizontal="left" wrapText="1"/>
    </xf>
    <xf numFmtId="14" fontId="0" fillId="3" borderId="23" xfId="0" applyNumberFormat="1" applyFill="1" applyBorder="1" applyAlignment="1">
      <alignment horizontal="center" wrapText="1"/>
    </xf>
    <xf numFmtId="0" fontId="0" fillId="3" borderId="31" xfId="0" applyFill="1" applyBorder="1" applyAlignment="1">
      <alignment horizontal="center" wrapText="1"/>
    </xf>
    <xf numFmtId="0" fontId="0" fillId="3" borderId="31" xfId="0" applyFill="1" applyBorder="1" applyAlignment="1">
      <alignment horizontal="left" wrapText="1"/>
    </xf>
    <xf numFmtId="0" fontId="14" fillId="16" borderId="7" xfId="0" applyFont="1" applyFill="1" applyBorder="1" applyAlignment="1">
      <alignment horizontal="center"/>
    </xf>
    <xf numFmtId="0" fontId="9" fillId="12" borderId="8" xfId="0" applyFont="1" applyFill="1" applyBorder="1"/>
    <xf numFmtId="0" fontId="0" fillId="3" borderId="10" xfId="0" applyFill="1" applyBorder="1" applyAlignment="1">
      <alignment horizontal="center" vertical="center" wrapText="1"/>
    </xf>
    <xf numFmtId="14" fontId="0" fillId="3" borderId="31" xfId="0" applyNumberFormat="1" applyFill="1" applyBorder="1" applyAlignment="1">
      <alignment horizontal="center" wrapText="1"/>
    </xf>
    <xf numFmtId="14" fontId="0" fillId="3" borderId="3" xfId="0" applyNumberFormat="1" applyFill="1" applyBorder="1" applyAlignment="1">
      <alignment horizontal="center" wrapText="1"/>
    </xf>
    <xf numFmtId="0" fontId="14" fillId="16" borderId="29" xfId="0" applyFont="1" applyFill="1" applyBorder="1" applyAlignment="1"/>
    <xf numFmtId="0" fontId="14" fillId="16" borderId="6" xfId="0" applyFont="1" applyFill="1" applyBorder="1" applyAlignment="1"/>
    <xf numFmtId="0" fontId="14" fillId="16" borderId="26" xfId="0" applyFont="1" applyFill="1" applyBorder="1" applyAlignment="1"/>
    <xf numFmtId="0" fontId="0" fillId="12" borderId="16" xfId="0" applyFill="1" applyBorder="1"/>
    <xf numFmtId="0" fontId="0" fillId="3" borderId="10" xfId="0" applyFill="1" applyBorder="1" applyAlignment="1">
      <alignment horizontal="center" vertical="center" wrapText="1"/>
    </xf>
    <xf numFmtId="0" fontId="13" fillId="15" borderId="29" xfId="0" applyFont="1" applyFill="1" applyBorder="1"/>
    <xf numFmtId="0" fontId="13" fillId="15" borderId="6" xfId="0" applyFont="1" applyFill="1" applyBorder="1"/>
    <xf numFmtId="0" fontId="13" fillId="15" borderId="26" xfId="0" applyFont="1" applyFill="1" applyBorder="1"/>
    <xf numFmtId="0" fontId="13" fillId="15" borderId="5" xfId="0" applyFont="1" applyFill="1" applyBorder="1"/>
    <xf numFmtId="0" fontId="0" fillId="12" borderId="12" xfId="0" applyFill="1" applyBorder="1"/>
    <xf numFmtId="0" fontId="0" fillId="3" borderId="10" xfId="0" applyFont="1" applyFill="1" applyBorder="1" applyAlignment="1">
      <alignment horizontal="center" wrapText="1"/>
    </xf>
    <xf numFmtId="14" fontId="9" fillId="3" borderId="30" xfId="0" applyNumberFormat="1" applyFont="1" applyFill="1" applyBorder="1" applyAlignment="1">
      <alignment horizontal="center" wrapText="1"/>
    </xf>
    <xf numFmtId="0" fontId="9" fillId="3" borderId="30" xfId="0" applyFont="1" applyFill="1" applyBorder="1" applyAlignment="1">
      <alignment horizontal="center" wrapText="1"/>
    </xf>
    <xf numFmtId="0" fontId="9" fillId="3" borderId="6" xfId="0" applyFont="1" applyFill="1" applyBorder="1" applyAlignment="1"/>
    <xf numFmtId="0" fontId="9" fillId="3" borderId="10" xfId="0" applyFont="1" applyFill="1" applyBorder="1" applyAlignment="1">
      <alignment horizontal="center" vertical="center" wrapText="1"/>
    </xf>
    <xf numFmtId="0" fontId="14" fillId="16" borderId="32" xfId="0" applyFont="1" applyFill="1" applyBorder="1"/>
    <xf numFmtId="14" fontId="0" fillId="3" borderId="30" xfId="0" applyNumberFormat="1" applyFill="1" applyBorder="1" applyAlignment="1">
      <alignment horizontal="center" wrapText="1"/>
    </xf>
    <xf numFmtId="0" fontId="0" fillId="12" borderId="0" xfId="0" applyFill="1"/>
    <xf numFmtId="0" fontId="13" fillId="15" borderId="34" xfId="0" applyFont="1" applyFill="1" applyBorder="1"/>
    <xf numFmtId="0" fontId="13" fillId="15" borderId="3" xfId="0" applyFont="1" applyFill="1" applyBorder="1"/>
    <xf numFmtId="0" fontId="13" fillId="15" borderId="33" xfId="0" applyFont="1" applyFill="1" applyBorder="1"/>
    <xf numFmtId="0" fontId="1" fillId="12" borderId="8" xfId="0" applyFont="1" applyFill="1" applyBorder="1"/>
    <xf numFmtId="0" fontId="14" fillId="16" borderId="7" xfId="0" applyFont="1" applyFill="1" applyBorder="1"/>
    <xf numFmtId="0" fontId="14" fillId="16" borderId="24" xfId="0" applyFont="1" applyFill="1" applyBorder="1" applyAlignme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4" fillId="16" borderId="5" xfId="0" applyFont="1" applyFill="1" applyBorder="1" applyAlignment="1"/>
    <xf numFmtId="0" fontId="14" fillId="16" borderId="7" xfId="0" applyFont="1" applyFill="1" applyBorder="1" applyAlignment="1"/>
    <xf numFmtId="0" fontId="0" fillId="0" borderId="1" xfId="0" applyBorder="1"/>
    <xf numFmtId="0" fontId="0" fillId="0" borderId="2" xfId="0" applyBorder="1"/>
    <xf numFmtId="0" fontId="0" fillId="0" borderId="27" xfId="0" applyBorder="1"/>
    <xf numFmtId="0" fontId="0" fillId="0" borderId="3" xfId="0" applyBorder="1"/>
    <xf numFmtId="0" fontId="0" fillId="0" borderId="24" xfId="0" applyBorder="1"/>
    <xf numFmtId="0" fontId="0" fillId="0" borderId="3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4" xfId="0" applyBorder="1"/>
    <xf numFmtId="0" fontId="0" fillId="0" borderId="35" xfId="0" applyBorder="1"/>
    <xf numFmtId="0" fontId="0" fillId="0" borderId="28" xfId="0" applyBorder="1"/>
    <xf numFmtId="0" fontId="0" fillId="0" borderId="32" xfId="0" applyBorder="1"/>
    <xf numFmtId="0" fontId="14" fillId="0" borderId="0" xfId="0" applyFont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3" borderId="42" xfId="0" applyFont="1" applyFill="1" applyBorder="1" applyAlignment="1">
      <alignment horizontal="left" wrapText="1"/>
    </xf>
    <xf numFmtId="0" fontId="0" fillId="3" borderId="12" xfId="0" applyFont="1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43" xfId="0" applyFont="1" applyFill="1" applyBorder="1" applyAlignment="1">
      <alignment horizontal="left" wrapText="1"/>
    </xf>
    <xf numFmtId="0" fontId="0" fillId="14" borderId="15" xfId="0" applyFill="1" applyBorder="1"/>
    <xf numFmtId="0" fontId="0" fillId="14" borderId="16" xfId="0" applyFill="1" applyBorder="1"/>
    <xf numFmtId="0" fontId="0" fillId="14" borderId="18" xfId="0" applyFill="1" applyBorder="1"/>
    <xf numFmtId="0" fontId="0" fillId="14" borderId="8" xfId="0" applyFill="1" applyBorder="1"/>
    <xf numFmtId="0" fontId="0" fillId="14" borderId="17" xfId="0" applyFill="1" applyBorder="1"/>
    <xf numFmtId="0" fontId="0" fillId="14" borderId="19" xfId="0" applyFill="1" applyBorder="1"/>
    <xf numFmtId="0" fontId="0" fillId="14" borderId="0" xfId="0" applyFill="1"/>
    <xf numFmtId="0" fontId="0" fillId="14" borderId="21" xfId="0" applyFill="1" applyBorder="1"/>
    <xf numFmtId="0" fontId="0" fillId="14" borderId="22" xfId="0" applyFill="1" applyBorder="1"/>
    <xf numFmtId="0" fontId="0" fillId="14" borderId="20" xfId="0" applyFill="1" applyBorder="1"/>
    <xf numFmtId="0" fontId="1" fillId="14" borderId="8" xfId="0" applyFont="1" applyFill="1" applyBorder="1"/>
    <xf numFmtId="0" fontId="0" fillId="14" borderId="13" xfId="0" applyFill="1" applyBorder="1"/>
    <xf numFmtId="0" fontId="0" fillId="9" borderId="36" xfId="0" applyFill="1" applyBorder="1"/>
    <xf numFmtId="0" fontId="0" fillId="12" borderId="17" xfId="0" applyFill="1" applyBorder="1"/>
    <xf numFmtId="0" fontId="0" fillId="14" borderId="0" xfId="0" applyFill="1" applyBorder="1"/>
    <xf numFmtId="0" fontId="0" fillId="12" borderId="19" xfId="0" applyFill="1" applyBorder="1"/>
    <xf numFmtId="0" fontId="0" fillId="14" borderId="3" xfId="0" applyFill="1" applyBorder="1"/>
    <xf numFmtId="0" fontId="0" fillId="14" borderId="24" xfId="0" applyFill="1" applyBorder="1"/>
    <xf numFmtId="0" fontId="0" fillId="11" borderId="20" xfId="0" applyFill="1" applyBorder="1"/>
    <xf numFmtId="0" fontId="0" fillId="9" borderId="36" xfId="0" applyFill="1" applyBorder="1" applyAlignment="1">
      <alignment horizontal="left" wrapText="1"/>
    </xf>
    <xf numFmtId="0" fontId="0" fillId="11" borderId="19" xfId="0" applyFill="1" applyBorder="1"/>
    <xf numFmtId="0" fontId="0" fillId="11" borderId="19" xfId="0" applyFill="1" applyBorder="1" applyAlignment="1">
      <alignment horizontal="left" wrapText="1"/>
    </xf>
    <xf numFmtId="0" fontId="0" fillId="3" borderId="20" xfId="0" applyFill="1" applyBorder="1" applyAlignment="1">
      <alignment horizontal="left" wrapText="1"/>
    </xf>
    <xf numFmtId="0" fontId="0" fillId="3" borderId="21" xfId="0" applyFill="1" applyBorder="1" applyAlignment="1">
      <alignment horizontal="left" wrapText="1"/>
    </xf>
    <xf numFmtId="0" fontId="0" fillId="3" borderId="22" xfId="0" applyFill="1" applyBorder="1" applyAlignment="1">
      <alignment horizontal="left" wrapText="1"/>
    </xf>
    <xf numFmtId="0" fontId="1" fillId="3" borderId="45" xfId="0" applyFont="1" applyFill="1" applyBorder="1" applyAlignment="1">
      <alignment horizontal="left" wrapText="1"/>
    </xf>
    <xf numFmtId="0" fontId="1" fillId="3" borderId="13" xfId="0" applyFont="1" applyFill="1" applyBorder="1" applyAlignment="1">
      <alignment horizontal="left" wrapText="1"/>
    </xf>
    <xf numFmtId="0" fontId="1" fillId="3" borderId="46" xfId="0" applyFont="1" applyFill="1" applyBorder="1" applyAlignment="1">
      <alignment horizontal="left" wrapText="1"/>
    </xf>
    <xf numFmtId="0" fontId="0" fillId="11" borderId="45" xfId="0" applyFill="1" applyBorder="1"/>
    <xf numFmtId="0" fontId="0" fillId="14" borderId="46" xfId="0" applyFill="1" applyBorder="1"/>
    <xf numFmtId="0" fontId="2" fillId="9" borderId="36" xfId="0" applyFont="1" applyFill="1" applyBorder="1"/>
    <xf numFmtId="0" fontId="0" fillId="3" borderId="49" xfId="0" applyFill="1" applyBorder="1" applyAlignment="1">
      <alignment horizontal="left" wrapText="1"/>
    </xf>
    <xf numFmtId="0" fontId="9" fillId="3" borderId="49" xfId="0" applyFont="1" applyFill="1" applyBorder="1" applyAlignment="1">
      <alignment horizontal="left" wrapText="1"/>
    </xf>
    <xf numFmtId="0" fontId="6" fillId="9" borderId="36" xfId="0" applyFont="1" applyFill="1" applyBorder="1"/>
    <xf numFmtId="17" fontId="0" fillId="3" borderId="37" xfId="0" applyNumberFormat="1" applyFill="1" applyBorder="1" applyAlignment="1">
      <alignment horizontal="center"/>
    </xf>
    <xf numFmtId="17" fontId="0" fillId="3" borderId="41" xfId="0" applyNumberFormat="1" applyFill="1" applyBorder="1" applyAlignment="1">
      <alignment horizontal="center"/>
    </xf>
    <xf numFmtId="17" fontId="0" fillId="3" borderId="38" xfId="0" applyNumberFormat="1" applyFill="1" applyBorder="1" applyAlignment="1">
      <alignment horizontal="center"/>
    </xf>
    <xf numFmtId="0" fontId="7" fillId="9" borderId="36" xfId="0" applyFont="1" applyFill="1" applyBorder="1"/>
    <xf numFmtId="17" fontId="0" fillId="8" borderId="37" xfId="0" applyNumberFormat="1" applyFill="1" applyBorder="1" applyAlignment="1">
      <alignment horizontal="center"/>
    </xf>
    <xf numFmtId="17" fontId="0" fillId="8" borderId="41" xfId="0" applyNumberFormat="1" applyFill="1" applyBorder="1" applyAlignment="1">
      <alignment horizontal="center"/>
    </xf>
    <xf numFmtId="17" fontId="0" fillId="8" borderId="38" xfId="0" applyNumberFormat="1" applyFill="1" applyBorder="1" applyAlignment="1">
      <alignment horizontal="center"/>
    </xf>
    <xf numFmtId="0" fontId="0" fillId="18" borderId="15" xfId="0" applyFill="1" applyBorder="1"/>
    <xf numFmtId="0" fontId="0" fillId="18" borderId="18" xfId="0" applyFill="1" applyBorder="1"/>
    <xf numFmtId="0" fontId="0" fillId="18" borderId="20" xfId="0" applyFill="1" applyBorder="1"/>
    <xf numFmtId="0" fontId="0" fillId="18" borderId="16" xfId="0" applyFill="1" applyBorder="1"/>
    <xf numFmtId="0" fontId="0" fillId="18" borderId="17" xfId="0" applyFill="1" applyBorder="1"/>
    <xf numFmtId="0" fontId="0" fillId="18" borderId="8" xfId="0" applyFill="1" applyBorder="1"/>
    <xf numFmtId="0" fontId="0" fillId="18" borderId="19" xfId="0" applyFill="1" applyBorder="1"/>
    <xf numFmtId="0" fontId="0" fillId="18" borderId="21" xfId="0" applyFill="1" applyBorder="1"/>
    <xf numFmtId="0" fontId="0" fillId="18" borderId="22" xfId="0" applyFill="1" applyBorder="1"/>
    <xf numFmtId="0" fontId="0" fillId="3" borderId="47" xfId="0" applyFill="1" applyBorder="1" applyAlignment="1">
      <alignment horizontal="left" wrapText="1"/>
    </xf>
    <xf numFmtId="0" fontId="0" fillId="3" borderId="36" xfId="0" applyFill="1" applyBorder="1" applyAlignment="1">
      <alignment horizontal="left" wrapText="1"/>
    </xf>
    <xf numFmtId="0" fontId="0" fillId="3" borderId="48" xfId="0" applyFill="1" applyBorder="1" applyAlignment="1">
      <alignment horizontal="left" wrapText="1"/>
    </xf>
    <xf numFmtId="0" fontId="0" fillId="11" borderId="47" xfId="0" applyFill="1" applyBorder="1"/>
    <xf numFmtId="0" fontId="0" fillId="14" borderId="36" xfId="0" applyFill="1" applyBorder="1"/>
    <xf numFmtId="0" fontId="0" fillId="14" borderId="48" xfId="0" applyFill="1" applyBorder="1"/>
    <xf numFmtId="0" fontId="0" fillId="3" borderId="8" xfId="0" applyFill="1" applyBorder="1"/>
    <xf numFmtId="0" fontId="0" fillId="18" borderId="12" xfId="0" applyFill="1" applyBorder="1"/>
    <xf numFmtId="0" fontId="0" fillId="18" borderId="0" xfId="0" applyFill="1"/>
    <xf numFmtId="0" fontId="0" fillId="19" borderId="12" xfId="0" applyFill="1" applyBorder="1"/>
    <xf numFmtId="0" fontId="1" fillId="18" borderId="8" xfId="0" applyFont="1" applyFill="1" applyBorder="1"/>
    <xf numFmtId="0" fontId="0" fillId="18" borderId="44" xfId="0" applyFill="1" applyBorder="1"/>
    <xf numFmtId="0" fontId="0" fillId="12" borderId="44" xfId="0" applyFill="1" applyBorder="1"/>
    <xf numFmtId="0" fontId="0" fillId="20" borderId="44" xfId="0" applyFill="1" applyBorder="1"/>
    <xf numFmtId="0" fontId="0" fillId="11" borderId="21" xfId="0" applyFill="1" applyBorder="1"/>
    <xf numFmtId="0" fontId="9" fillId="11" borderId="21" xfId="0" applyFont="1" applyFill="1" applyBorder="1"/>
    <xf numFmtId="0" fontId="4" fillId="0" borderId="15" xfId="0" applyFont="1" applyBorder="1"/>
    <xf numFmtId="0" fontId="4" fillId="0" borderId="8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13" borderId="8" xfId="0" applyFont="1" applyFill="1" applyBorder="1"/>
    <xf numFmtId="0" fontId="4" fillId="0" borderId="19" xfId="0" applyFont="1" applyBorder="1"/>
    <xf numFmtId="0" fontId="4" fillId="0" borderId="8" xfId="0" applyFont="1" applyFill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9" borderId="36" xfId="0" applyFont="1" applyFill="1" applyBorder="1"/>
    <xf numFmtId="0" fontId="4" fillId="0" borderId="15" xfId="0" applyFont="1" applyFill="1" applyBorder="1"/>
    <xf numFmtId="0" fontId="4" fillId="0" borderId="16" xfId="0" applyFont="1" applyFill="1" applyBorder="1"/>
    <xf numFmtId="0" fontId="4" fillId="0" borderId="17" xfId="0" applyFont="1" applyFill="1" applyBorder="1"/>
    <xf numFmtId="0" fontId="4" fillId="0" borderId="18" xfId="0" applyFont="1" applyFill="1" applyBorder="1"/>
    <xf numFmtId="0" fontId="4" fillId="0" borderId="19" xfId="0" applyFont="1" applyFill="1" applyBorder="1"/>
    <xf numFmtId="0" fontId="4" fillId="20" borderId="18" xfId="0" applyFont="1" applyFill="1" applyBorder="1"/>
    <xf numFmtId="0" fontId="4" fillId="0" borderId="0" xfId="0" applyFont="1" applyFill="1" applyBorder="1"/>
    <xf numFmtId="0" fontId="4" fillId="0" borderId="20" xfId="0" applyFont="1" applyFill="1" applyBorder="1"/>
    <xf numFmtId="0" fontId="4" fillId="0" borderId="21" xfId="0" applyFont="1" applyFill="1" applyBorder="1"/>
    <xf numFmtId="0" fontId="4" fillId="0" borderId="22" xfId="0" applyFont="1" applyFill="1" applyBorder="1"/>
    <xf numFmtId="0" fontId="4" fillId="12" borderId="15" xfId="0" applyFont="1" applyFill="1" applyBorder="1"/>
    <xf numFmtId="0" fontId="4" fillId="0" borderId="2" xfId="0" applyFont="1" applyFill="1" applyBorder="1"/>
    <xf numFmtId="0" fontId="4" fillId="12" borderId="18" xfId="0" applyFont="1" applyFill="1" applyBorder="1"/>
    <xf numFmtId="0" fontId="4" fillId="0" borderId="3" xfId="0" applyFont="1" applyFill="1" applyBorder="1"/>
    <xf numFmtId="0" fontId="4" fillId="12" borderId="8" xfId="0" applyFont="1" applyFill="1" applyBorder="1"/>
    <xf numFmtId="0" fontId="5" fillId="18" borderId="44" xfId="0" applyFont="1" applyFill="1" applyBorder="1"/>
    <xf numFmtId="0" fontId="0" fillId="21" borderId="8" xfId="0" applyFill="1" applyBorder="1"/>
    <xf numFmtId="0" fontId="0" fillId="20" borderId="8" xfId="0" applyFill="1" applyBorder="1"/>
    <xf numFmtId="0" fontId="0" fillId="0" borderId="8" xfId="0" applyBorder="1"/>
    <xf numFmtId="0" fontId="4" fillId="4" borderId="8" xfId="0" applyFont="1" applyFill="1" applyBorder="1"/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9" fillId="10" borderId="51" xfId="0" applyFont="1" applyFill="1" applyBorder="1" applyAlignment="1">
      <alignment wrapText="1"/>
    </xf>
    <xf numFmtId="0" fontId="9" fillId="10" borderId="30" xfId="0" applyFont="1" applyFill="1" applyBorder="1" applyAlignment="1">
      <alignment wrapText="1"/>
    </xf>
    <xf numFmtId="0" fontId="9" fillId="10" borderId="30" xfId="0" applyFont="1" applyFill="1" applyBorder="1" applyAlignment="1">
      <alignment horizontal="left" wrapText="1"/>
    </xf>
    <xf numFmtId="0" fontId="4" fillId="9" borderId="12" xfId="0" applyFont="1" applyFill="1" applyBorder="1" applyAlignment="1">
      <alignment horizontal="left" wrapText="1"/>
    </xf>
    <xf numFmtId="0" fontId="0" fillId="14" borderId="30" xfId="0" applyFont="1" applyFill="1" applyBorder="1" applyAlignment="1"/>
    <xf numFmtId="0" fontId="0" fillId="14" borderId="30" xfId="0" applyFill="1" applyBorder="1" applyAlignment="1"/>
    <xf numFmtId="0" fontId="0" fillId="14" borderId="30" xfId="0" applyFill="1" applyBorder="1"/>
    <xf numFmtId="0" fontId="5" fillId="9" borderId="12" xfId="0" applyFont="1" applyFill="1" applyBorder="1" applyAlignment="1">
      <alignment horizontal="left" wrapText="1"/>
    </xf>
    <xf numFmtId="0" fontId="2" fillId="10" borderId="11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 wrapText="1"/>
    </xf>
    <xf numFmtId="0" fontId="0" fillId="10" borderId="10" xfId="0" applyFont="1" applyFill="1" applyBorder="1" applyAlignment="1">
      <alignment horizontal="center" wrapText="1"/>
    </xf>
    <xf numFmtId="0" fontId="0" fillId="10" borderId="11" xfId="0" applyFont="1" applyFill="1" applyBorder="1" applyAlignment="1">
      <alignment horizontal="center" wrapText="1"/>
    </xf>
    <xf numFmtId="0" fontId="4" fillId="9" borderId="53" xfId="0" applyFont="1" applyFill="1" applyBorder="1"/>
    <xf numFmtId="0" fontId="5" fillId="9" borderId="0" xfId="0" applyFont="1" applyFill="1" applyBorder="1"/>
    <xf numFmtId="0" fontId="5" fillId="9" borderId="0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0" fillId="14" borderId="9" xfId="0" applyFont="1" applyFill="1" applyBorder="1" applyAlignment="1">
      <alignment vertical="center" wrapText="1"/>
    </xf>
    <xf numFmtId="0" fontId="0" fillId="14" borderId="10" xfId="0" applyFont="1" applyFill="1" applyBorder="1" applyAlignment="1">
      <alignment vertical="center" wrapText="1"/>
    </xf>
    <xf numFmtId="0" fontId="0" fillId="14" borderId="11" xfId="0" applyFont="1" applyFill="1" applyBorder="1" applyAlignment="1">
      <alignment vertical="center" wrapText="1"/>
    </xf>
    <xf numFmtId="0" fontId="4" fillId="9" borderId="0" xfId="0" applyFont="1" applyFill="1"/>
    <xf numFmtId="0" fontId="4" fillId="9" borderId="0" xfId="0" applyFont="1" applyFill="1" applyBorder="1"/>
    <xf numFmtId="0" fontId="0" fillId="9" borderId="0" xfId="0" applyFill="1" applyBorder="1"/>
    <xf numFmtId="0" fontId="0" fillId="9" borderId="0" xfId="0" applyFont="1" applyFill="1" applyBorder="1" applyAlignment="1">
      <alignment horizontal="center" vertical="center"/>
    </xf>
    <xf numFmtId="0" fontId="0" fillId="9" borderId="0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wrapText="1"/>
    </xf>
    <xf numFmtId="0" fontId="0" fillId="3" borderId="12" xfId="0" applyFill="1" applyBorder="1"/>
    <xf numFmtId="0" fontId="0" fillId="14" borderId="50" xfId="0" applyFont="1" applyFill="1" applyBorder="1" applyAlignment="1">
      <alignment horizontal="center" vertical="center" wrapText="1"/>
    </xf>
    <xf numFmtId="0" fontId="0" fillId="14" borderId="51" xfId="0" applyFill="1" applyBorder="1" applyAlignment="1">
      <alignment horizontal="left" wrapText="1"/>
    </xf>
    <xf numFmtId="0" fontId="0" fillId="14" borderId="52" xfId="0" applyFont="1" applyFill="1" applyBorder="1" applyAlignment="1">
      <alignment horizontal="center" vertical="center" wrapText="1"/>
    </xf>
    <xf numFmtId="0" fontId="0" fillId="14" borderId="30" xfId="0" applyFill="1" applyBorder="1" applyAlignment="1">
      <alignment horizontal="left" wrapText="1"/>
    </xf>
    <xf numFmtId="0" fontId="9" fillId="14" borderId="30" xfId="0" applyFont="1" applyFill="1" applyBorder="1" applyAlignment="1">
      <alignment horizontal="left" wrapText="1"/>
    </xf>
    <xf numFmtId="0" fontId="4" fillId="9" borderId="7" xfId="0" applyFont="1" applyFill="1" applyBorder="1"/>
    <xf numFmtId="0" fontId="4" fillId="9" borderId="47" xfId="0" applyFont="1" applyFill="1" applyBorder="1"/>
    <xf numFmtId="0" fontId="0" fillId="0" borderId="37" xfId="0" applyBorder="1"/>
    <xf numFmtId="0" fontId="0" fillId="0" borderId="41" xfId="0" applyBorder="1"/>
    <xf numFmtId="0" fontId="0" fillId="0" borderId="38" xfId="0" applyBorder="1"/>
    <xf numFmtId="17" fontId="0" fillId="17" borderId="56" xfId="0" applyNumberFormat="1" applyFill="1" applyBorder="1" applyAlignment="1">
      <alignment horizontal="center"/>
    </xf>
    <xf numFmtId="17" fontId="0" fillId="17" borderId="57" xfId="0" applyNumberFormat="1" applyFill="1" applyBorder="1" applyAlignment="1">
      <alignment horizontal="center"/>
    </xf>
    <xf numFmtId="17" fontId="0" fillId="17" borderId="58" xfId="0" applyNumberFormat="1" applyFill="1" applyBorder="1" applyAlignment="1">
      <alignment horizontal="center"/>
    </xf>
    <xf numFmtId="0" fontId="4" fillId="12" borderId="16" xfId="0" applyFont="1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4" fillId="16" borderId="40" xfId="0" applyFont="1" applyFill="1" applyBorder="1" applyAlignment="1"/>
    <xf numFmtId="0" fontId="14" fillId="16" borderId="5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9" fillId="3" borderId="10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4" fillId="12" borderId="21" xfId="0" applyFont="1" applyFill="1" applyBorder="1"/>
    <xf numFmtId="0" fontId="19" fillId="12" borderId="8" xfId="0" applyFont="1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12" borderId="60" xfId="0" applyFill="1" applyBorder="1"/>
    <xf numFmtId="0" fontId="0" fillId="0" borderId="59" xfId="0" applyFill="1" applyBorder="1"/>
    <xf numFmtId="0" fontId="0" fillId="0" borderId="0" xfId="0" applyAlignment="1">
      <alignment horizontal="center"/>
    </xf>
    <xf numFmtId="0" fontId="0" fillId="3" borderId="10" xfId="0" applyFill="1" applyBorder="1" applyAlignment="1">
      <alignment horizontal="center" vertical="center" wrapText="1"/>
    </xf>
    <xf numFmtId="1" fontId="0" fillId="3" borderId="6" xfId="0" applyNumberFormat="1" applyFill="1" applyBorder="1" applyAlignment="1">
      <alignment horizontal="center" wrapText="1"/>
    </xf>
    <xf numFmtId="1" fontId="0" fillId="3" borderId="24" xfId="0" applyNumberFormat="1" applyFill="1" applyBorder="1" applyAlignment="1">
      <alignment horizontal="center" wrapText="1"/>
    </xf>
    <xf numFmtId="1" fontId="0" fillId="3" borderId="5" xfId="0" applyNumberFormat="1" applyFill="1" applyBorder="1" applyAlignment="1">
      <alignment horizontal="center" wrapText="1"/>
    </xf>
    <xf numFmtId="0" fontId="0" fillId="3" borderId="6" xfId="0" applyNumberFormat="1" applyFill="1" applyBorder="1" applyAlignment="1">
      <alignment horizontal="center" wrapText="1"/>
    </xf>
    <xf numFmtId="0" fontId="9" fillId="3" borderId="10" xfId="0" applyFont="1" applyFill="1" applyBorder="1" applyAlignment="1">
      <alignment horizontal="left"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wrapText="1"/>
    </xf>
    <xf numFmtId="0" fontId="0" fillId="3" borderId="6" xfId="0" applyFont="1" applyFill="1" applyBorder="1" applyAlignment="1">
      <alignment horizontal="center" wrapText="1"/>
    </xf>
    <xf numFmtId="0" fontId="10" fillId="3" borderId="11" xfId="1" applyFill="1" applyBorder="1" applyAlignment="1" applyProtection="1">
      <alignment horizontal="center"/>
    </xf>
    <xf numFmtId="0" fontId="0" fillId="3" borderId="7" xfId="0" applyFont="1" applyFill="1" applyBorder="1" applyAlignment="1">
      <alignment horizontal="center" wrapText="1"/>
    </xf>
    <xf numFmtId="1" fontId="0" fillId="3" borderId="7" xfId="0" applyNumberFormat="1" applyFill="1" applyBorder="1" applyAlignment="1">
      <alignment horizontal="center" wrapText="1"/>
    </xf>
    <xf numFmtId="0" fontId="0" fillId="3" borderId="7" xfId="0" applyNumberForma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6" xfId="0" applyFill="1" applyBorder="1"/>
    <xf numFmtId="0" fontId="19" fillId="0" borderId="8" xfId="0" applyFont="1" applyFill="1" applyBorder="1"/>
    <xf numFmtId="0" fontId="0" fillId="0" borderId="0" xfId="0" applyFill="1"/>
    <xf numFmtId="0" fontId="0" fillId="0" borderId="8" xfId="0" applyFill="1" applyBorder="1"/>
    <xf numFmtId="0" fontId="0" fillId="0" borderId="18" xfId="0" applyFill="1" applyBorder="1"/>
    <xf numFmtId="0" fontId="0" fillId="0" borderId="19" xfId="0" applyFill="1" applyBorder="1"/>
    <xf numFmtId="0" fontId="4" fillId="12" borderId="19" xfId="0" applyFont="1" applyFill="1" applyBorder="1"/>
    <xf numFmtId="0" fontId="4" fillId="0" borderId="44" xfId="0" applyFont="1" applyFill="1" applyBorder="1"/>
    <xf numFmtId="0" fontId="4" fillId="0" borderId="12" xfId="0" applyFont="1" applyFill="1" applyBorder="1"/>
    <xf numFmtId="0" fontId="4" fillId="0" borderId="13" xfId="0" applyFont="1" applyFill="1" applyBorder="1"/>
    <xf numFmtId="0" fontId="0" fillId="0" borderId="32" xfId="0" applyBorder="1" applyAlignment="1">
      <alignment horizontal="left"/>
    </xf>
    <xf numFmtId="0" fontId="2" fillId="10" borderId="61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14" fontId="0" fillId="0" borderId="31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4" fillId="12" borderId="0" xfId="0" applyFont="1" applyFill="1" applyBorder="1"/>
    <xf numFmtId="0" fontId="4" fillId="12" borderId="44" xfId="0" applyFont="1" applyFill="1" applyBorder="1"/>
    <xf numFmtId="0" fontId="4" fillId="0" borderId="14" xfId="0" applyFont="1" applyFill="1" applyBorder="1"/>
    <xf numFmtId="0" fontId="4" fillId="0" borderId="65" xfId="0" applyFont="1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/>
    </xf>
    <xf numFmtId="0" fontId="14" fillId="16" borderId="5" xfId="0" applyFont="1" applyFill="1" applyBorder="1"/>
    <xf numFmtId="0" fontId="14" fillId="16" borderId="6" xfId="0" applyFont="1" applyFill="1" applyBorder="1"/>
    <xf numFmtId="0" fontId="14" fillId="16" borderId="27" xfId="0" applyFont="1" applyFill="1" applyBorder="1"/>
    <xf numFmtId="0" fontId="14" fillId="16" borderId="24" xfId="0" applyFont="1" applyFill="1" applyBorder="1"/>
    <xf numFmtId="0" fontId="0" fillId="0" borderId="61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22" borderId="1" xfId="0" applyFill="1" applyBorder="1"/>
    <xf numFmtId="0" fontId="0" fillId="22" borderId="2" xfId="0" applyFill="1" applyBorder="1"/>
    <xf numFmtId="0" fontId="0" fillId="22" borderId="27" xfId="0" applyFill="1" applyBorder="1"/>
    <xf numFmtId="0" fontId="0" fillId="22" borderId="4" xfId="0" applyFill="1" applyBorder="1"/>
    <xf numFmtId="0" fontId="0" fillId="22" borderId="35" xfId="0" applyFill="1" applyBorder="1"/>
    <xf numFmtId="0" fontId="0" fillId="22" borderId="28" xfId="0" applyFill="1" applyBorder="1"/>
    <xf numFmtId="0" fontId="0" fillId="22" borderId="66" xfId="0" applyFill="1" applyBorder="1"/>
    <xf numFmtId="0" fontId="0" fillId="22" borderId="67" xfId="0" applyFill="1" applyBorder="1"/>
    <xf numFmtId="0" fontId="0" fillId="22" borderId="68" xfId="0" applyFill="1" applyBorder="1"/>
    <xf numFmtId="14" fontId="0" fillId="0" borderId="69" xfId="0" applyNumberFormat="1" applyBorder="1"/>
    <xf numFmtId="0" fontId="4" fillId="12" borderId="2" xfId="0" applyFont="1" applyFill="1" applyBorder="1"/>
    <xf numFmtId="0" fontId="4" fillId="17" borderId="8" xfId="0" applyFont="1" applyFill="1" applyBorder="1"/>
    <xf numFmtId="0" fontId="14" fillId="16" borderId="1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14" fillId="16" borderId="4" xfId="0" applyFont="1" applyFill="1" applyBorder="1" applyAlignment="1">
      <alignment horizontal="center"/>
    </xf>
    <xf numFmtId="0" fontId="2" fillId="0" borderId="0" xfId="0" applyFont="1" applyBorder="1"/>
    <xf numFmtId="0" fontId="4" fillId="23" borderId="8" xfId="0" applyFont="1" applyFill="1" applyBorder="1"/>
    <xf numFmtId="0" fontId="14" fillId="16" borderId="1" xfId="0" applyFont="1" applyFill="1" applyBorder="1" applyAlignment="1">
      <alignment horizontal="center"/>
    </xf>
    <xf numFmtId="0" fontId="9" fillId="17" borderId="10" xfId="0" applyFont="1" applyFill="1" applyBorder="1" applyAlignment="1">
      <alignment horizontal="left" wrapText="1"/>
    </xf>
    <xf numFmtId="0" fontId="0" fillId="0" borderId="3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17" borderId="9" xfId="0" applyFill="1" applyBorder="1" applyAlignment="1">
      <alignment horizontal="left" wrapText="1"/>
    </xf>
    <xf numFmtId="14" fontId="0" fillId="24" borderId="10" xfId="0" applyNumberFormat="1" applyFill="1" applyBorder="1" applyAlignment="1">
      <alignment horizontal="center" wrapText="1"/>
    </xf>
    <xf numFmtId="0" fontId="0" fillId="17" borderId="10" xfId="0" applyFill="1" applyBorder="1" applyAlignment="1">
      <alignment horizontal="left" wrapText="1"/>
    </xf>
    <xf numFmtId="0" fontId="0" fillId="17" borderId="6" xfId="0" applyFill="1" applyBorder="1" applyAlignment="1">
      <alignment horizontal="left" wrapText="1"/>
    </xf>
    <xf numFmtId="0" fontId="9" fillId="17" borderId="9" xfId="0" applyFont="1" applyFill="1" applyBorder="1" applyAlignment="1"/>
    <xf numFmtId="0" fontId="9" fillId="17" borderId="10" xfId="0" applyFont="1" applyFill="1" applyBorder="1" applyAlignment="1"/>
    <xf numFmtId="0" fontId="9" fillId="17" borderId="10" xfId="0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wrapText="1"/>
    </xf>
    <xf numFmtId="0" fontId="9" fillId="3" borderId="3" xfId="0" applyFont="1" applyFill="1" applyBorder="1" applyAlignment="1"/>
    <xf numFmtId="0" fontId="14" fillId="16" borderId="29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14" fillId="16" borderId="5" xfId="0" applyFont="1" applyFill="1" applyBorder="1"/>
    <xf numFmtId="0" fontId="14" fillId="16" borderId="6" xfId="0" applyFont="1" applyFill="1" applyBorder="1"/>
    <xf numFmtId="0" fontId="14" fillId="16" borderId="39" xfId="0" applyFont="1" applyFill="1" applyBorder="1" applyAlignment="1">
      <alignment horizontal="center" vertical="top"/>
    </xf>
    <xf numFmtId="0" fontId="14" fillId="16" borderId="24" xfId="0" applyFont="1" applyFill="1" applyBorder="1" applyAlignment="1">
      <alignment horizontal="center" vertical="top"/>
    </xf>
    <xf numFmtId="0" fontId="14" fillId="16" borderId="29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14" fillId="16" borderId="26" xfId="0" applyFont="1" applyFill="1" applyBorder="1" applyAlignment="1">
      <alignment horizontal="center" vertical="center"/>
    </xf>
    <xf numFmtId="0" fontId="14" fillId="16" borderId="29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26" xfId="0" applyFont="1" applyFill="1" applyBorder="1" applyAlignment="1">
      <alignment vertical="center" wrapText="1"/>
    </xf>
    <xf numFmtId="0" fontId="14" fillId="16" borderId="5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/>
    </xf>
    <xf numFmtId="0" fontId="13" fillId="15" borderId="5" xfId="0" applyFont="1" applyFill="1" applyBorder="1"/>
    <xf numFmtId="0" fontId="13" fillId="15" borderId="26" xfId="0" applyFont="1" applyFill="1" applyBorder="1"/>
    <xf numFmtId="0" fontId="13" fillId="15" borderId="6" xfId="0" applyFont="1" applyFill="1" applyBorder="1"/>
    <xf numFmtId="0" fontId="4" fillId="0" borderId="30" xfId="0" applyFont="1" applyFill="1" applyBorder="1"/>
    <xf numFmtId="0" fontId="14" fillId="16" borderId="6" xfId="0" applyFont="1" applyFill="1" applyBorder="1" applyAlignment="1">
      <alignment horizontal="center"/>
    </xf>
    <xf numFmtId="0" fontId="14" fillId="16" borderId="29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14" fillId="16" borderId="5" xfId="0" applyFont="1" applyFill="1" applyBorder="1"/>
    <xf numFmtId="0" fontId="14" fillId="16" borderId="6" xfId="0" applyFont="1" applyFill="1" applyBorder="1"/>
    <xf numFmtId="0" fontId="13" fillId="15" borderId="5" xfId="0" applyFont="1" applyFill="1" applyBorder="1"/>
    <xf numFmtId="0" fontId="13" fillId="15" borderId="26" xfId="0" applyFont="1" applyFill="1" applyBorder="1"/>
    <xf numFmtId="0" fontId="14" fillId="16" borderId="29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/>
    </xf>
    <xf numFmtId="0" fontId="14" fillId="16" borderId="26" xfId="0" applyFont="1" applyFill="1" applyBorder="1" applyAlignment="1">
      <alignment horizontal="center" vertical="center"/>
    </xf>
    <xf numFmtId="0" fontId="14" fillId="16" borderId="29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26" xfId="0" applyFont="1" applyFill="1" applyBorder="1" applyAlignment="1">
      <alignment vertical="center" wrapText="1"/>
    </xf>
    <xf numFmtId="0" fontId="14" fillId="16" borderId="5" xfId="0" applyFont="1" applyFill="1" applyBorder="1" applyAlignment="1">
      <alignment horizontal="center" vertical="center" wrapText="1"/>
    </xf>
    <xf numFmtId="0" fontId="13" fillId="15" borderId="6" xfId="0" applyFont="1" applyFill="1" applyBorder="1"/>
    <xf numFmtId="0" fontId="14" fillId="16" borderId="32" xfId="0" applyFont="1" applyFill="1" applyBorder="1" applyAlignment="1">
      <alignment horizontal="center"/>
    </xf>
    <xf numFmtId="0" fontId="22" fillId="0" borderId="0" xfId="0" applyFont="1"/>
    <xf numFmtId="0" fontId="23" fillId="0" borderId="0" xfId="0" applyFont="1"/>
    <xf numFmtId="14" fontId="23" fillId="0" borderId="0" xfId="0" applyNumberFormat="1" applyFont="1"/>
    <xf numFmtId="0" fontId="0" fillId="3" borderId="0" xfId="0" applyFill="1"/>
    <xf numFmtId="14" fontId="0" fillId="3" borderId="0" xfId="0" applyNumberFormat="1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4" fontId="0" fillId="3" borderId="6" xfId="0" applyNumberFormat="1" applyFill="1" applyBorder="1" applyAlignment="1">
      <alignment horizontal="center"/>
    </xf>
    <xf numFmtId="0" fontId="0" fillId="0" borderId="5" xfId="0" applyBorder="1" applyAlignment="1"/>
    <xf numFmtId="0" fontId="0" fillId="0" borderId="1" xfId="0" applyBorder="1" applyAlignment="1"/>
    <xf numFmtId="0" fontId="0" fillId="0" borderId="3" xfId="0" applyBorder="1" applyAlignment="1"/>
    <xf numFmtId="0" fontId="0" fillId="0" borderId="6" xfId="0" applyBorder="1" applyAlignment="1"/>
    <xf numFmtId="17" fontId="0" fillId="0" borderId="61" xfId="0" applyNumberFormat="1" applyBorder="1"/>
    <xf numFmtId="0" fontId="0" fillId="0" borderId="61" xfId="0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61" xfId="0" applyNumberFormat="1" applyBorder="1" applyAlignment="1">
      <alignment horizontal="center"/>
    </xf>
    <xf numFmtId="20" fontId="0" fillId="0" borderId="61" xfId="0" applyNumberFormat="1" applyBorder="1" applyAlignment="1">
      <alignment horizontal="center"/>
    </xf>
    <xf numFmtId="0" fontId="0" fillId="0" borderId="64" xfId="0" applyFill="1" applyBorder="1" applyAlignment="1">
      <alignment horizontal="center"/>
    </xf>
    <xf numFmtId="0" fontId="14" fillId="16" borderId="5" xfId="0" applyFont="1" applyFill="1" applyBorder="1"/>
    <xf numFmtId="0" fontId="14" fillId="16" borderId="29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14" fillId="16" borderId="24" xfId="0" applyFont="1" applyFill="1" applyBorder="1" applyAlignment="1">
      <alignment horizontal="center"/>
    </xf>
    <xf numFmtId="0" fontId="14" fillId="16" borderId="37" xfId="0" applyFont="1" applyFill="1" applyBorder="1"/>
    <xf numFmtId="0" fontId="13" fillId="0" borderId="0" xfId="0" applyFont="1" applyFill="1" applyBorder="1"/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top"/>
    </xf>
    <xf numFmtId="0" fontId="14" fillId="0" borderId="0" xfId="0" applyFont="1" applyFill="1" applyBorder="1"/>
    <xf numFmtId="0" fontId="13" fillId="15" borderId="32" xfId="0" applyFont="1" applyFill="1" applyBorder="1"/>
    <xf numFmtId="0" fontId="14" fillId="16" borderId="32" xfId="0" applyFont="1" applyFill="1" applyBorder="1" applyAlignment="1">
      <alignment horizontal="center" vertical="center" wrapText="1"/>
    </xf>
    <xf numFmtId="0" fontId="14" fillId="16" borderId="32" xfId="0" applyFont="1" applyFill="1" applyBorder="1" applyAlignment="1">
      <alignment horizontal="center" vertical="center"/>
    </xf>
    <xf numFmtId="0" fontId="14" fillId="16" borderId="38" xfId="0" applyFont="1" applyFill="1" applyBorder="1"/>
    <xf numFmtId="0" fontId="13" fillId="15" borderId="5" xfId="0" applyFont="1" applyFill="1" applyBorder="1"/>
    <xf numFmtId="0" fontId="13" fillId="15" borderId="26" xfId="0" applyFont="1" applyFill="1" applyBorder="1"/>
    <xf numFmtId="0" fontId="14" fillId="16" borderId="5" xfId="0" applyFont="1" applyFill="1" applyBorder="1"/>
    <xf numFmtId="0" fontId="14" fillId="16" borderId="6" xfId="0" applyFont="1" applyFill="1" applyBorder="1"/>
    <xf numFmtId="0" fontId="14" fillId="16" borderId="29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4" fillId="16" borderId="29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14" fillId="16" borderId="26" xfId="0" applyFont="1" applyFill="1" applyBorder="1" applyAlignment="1">
      <alignment horizontal="center" vertical="center"/>
    </xf>
    <xf numFmtId="0" fontId="14" fillId="16" borderId="29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26" xfId="0" applyFont="1" applyFill="1" applyBorder="1" applyAlignment="1">
      <alignment vertical="center" wrapText="1"/>
    </xf>
    <xf numFmtId="0" fontId="14" fillId="16" borderId="5" xfId="0" applyFont="1" applyFill="1" applyBorder="1" applyAlignment="1">
      <alignment horizontal="center" vertical="center" wrapText="1"/>
    </xf>
    <xf numFmtId="0" fontId="13" fillId="15" borderId="6" xfId="0" applyFont="1" applyFill="1" applyBorder="1"/>
    <xf numFmtId="0" fontId="13" fillId="15" borderId="5" xfId="0" applyFont="1" applyFill="1" applyBorder="1"/>
    <xf numFmtId="0" fontId="13" fillId="15" borderId="26" xfId="0" applyFont="1" applyFill="1" applyBorder="1"/>
    <xf numFmtId="0" fontId="13" fillId="15" borderId="6" xfId="0" applyFont="1" applyFill="1" applyBorder="1"/>
    <xf numFmtId="0" fontId="14" fillId="16" borderId="29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26" xfId="0" applyFont="1" applyFill="1" applyBorder="1" applyAlignment="1">
      <alignment vertical="center" wrapText="1"/>
    </xf>
    <xf numFmtId="0" fontId="14" fillId="16" borderId="5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/>
    </xf>
    <xf numFmtId="0" fontId="14" fillId="16" borderId="29" xfId="0" applyFont="1" applyFill="1" applyBorder="1" applyAlignment="1">
      <alignment horizontal="center" vertical="center" wrapText="1"/>
    </xf>
    <xf numFmtId="0" fontId="14" fillId="16" borderId="5" xfId="0" applyFont="1" applyFill="1" applyBorder="1"/>
    <xf numFmtId="0" fontId="14" fillId="16" borderId="6" xfId="0" applyFont="1" applyFill="1" applyBorder="1"/>
    <xf numFmtId="0" fontId="14" fillId="16" borderId="29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14" fillId="16" borderId="2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16" borderId="37" xfId="0" applyFont="1" applyFill="1" applyBorder="1" applyAlignment="1">
      <alignment horizontal="center" vertical="center"/>
    </xf>
    <xf numFmtId="0" fontId="14" fillId="16" borderId="0" xfId="0" applyFont="1" applyFill="1" applyBorder="1"/>
    <xf numFmtId="0" fontId="14" fillId="16" borderId="5" xfId="0" applyFont="1" applyFill="1" applyBorder="1" applyAlignment="1">
      <alignment horizontal="center" vertical="center"/>
    </xf>
    <xf numFmtId="0" fontId="14" fillId="16" borderId="7" xfId="0" applyFont="1" applyFill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14" fillId="16" borderId="6" xfId="0" applyFont="1" applyFill="1" applyBorder="1" applyAlignment="1">
      <alignment horizontal="center" vertical="center"/>
    </xf>
    <xf numFmtId="0" fontId="13" fillId="15" borderId="5" xfId="0" applyFont="1" applyFill="1" applyBorder="1"/>
    <xf numFmtId="0" fontId="13" fillId="15" borderId="26" xfId="0" applyFont="1" applyFill="1" applyBorder="1"/>
    <xf numFmtId="0" fontId="14" fillId="16" borderId="6" xfId="0" applyFont="1" applyFill="1" applyBorder="1" applyAlignment="1">
      <alignment horizontal="center"/>
    </xf>
    <xf numFmtId="0" fontId="14" fillId="16" borderId="5" xfId="0" applyFont="1" applyFill="1" applyBorder="1"/>
    <xf numFmtId="0" fontId="14" fillId="16" borderId="6" xfId="0" applyFont="1" applyFill="1" applyBorder="1"/>
    <xf numFmtId="0" fontId="14" fillId="16" borderId="29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4" fillId="16" borderId="29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14" fillId="16" borderId="26" xfId="0" applyFont="1" applyFill="1" applyBorder="1" applyAlignment="1">
      <alignment horizontal="center" vertical="center"/>
    </xf>
    <xf numFmtId="0" fontId="13" fillId="15" borderId="6" xfId="0" applyFont="1" applyFill="1" applyBorder="1"/>
    <xf numFmtId="0" fontId="14" fillId="16" borderId="29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26" xfId="0" applyFont="1" applyFill="1" applyBorder="1" applyAlignment="1">
      <alignment vertical="center" wrapText="1"/>
    </xf>
    <xf numFmtId="0" fontId="14" fillId="16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25" borderId="10" xfId="0" applyFill="1" applyBorder="1" applyAlignment="1">
      <alignment horizontal="center" wrapText="1"/>
    </xf>
    <xf numFmtId="14" fontId="0" fillId="25" borderId="0" xfId="0" applyNumberFormat="1" applyFill="1" applyAlignment="1">
      <alignment horizontal="center" wrapText="1"/>
    </xf>
    <xf numFmtId="0" fontId="0" fillId="25" borderId="0" xfId="0" applyFill="1" applyAlignment="1">
      <alignment horizontal="center" wrapText="1"/>
    </xf>
    <xf numFmtId="14" fontId="0" fillId="25" borderId="10" xfId="0" applyNumberFormat="1" applyFill="1" applyBorder="1" applyAlignment="1">
      <alignment horizontal="center" wrapText="1"/>
    </xf>
    <xf numFmtId="0" fontId="0" fillId="25" borderId="6" xfId="0" applyFill="1" applyBorder="1" applyAlignment="1">
      <alignment horizontal="center" wrapText="1"/>
    </xf>
    <xf numFmtId="0" fontId="9" fillId="25" borderId="10" xfId="0" applyFont="1" applyFill="1" applyBorder="1" applyAlignment="1">
      <alignment horizontal="center" vertical="center" wrapText="1"/>
    </xf>
    <xf numFmtId="0" fontId="9" fillId="25" borderId="3" xfId="0" applyFont="1" applyFill="1" applyBorder="1" applyAlignment="1"/>
    <xf numFmtId="0" fontId="0" fillId="0" borderId="0" xfId="0" applyBorder="1" applyAlignment="1">
      <alignment horizontal="center" wrapText="1"/>
    </xf>
    <xf numFmtId="0" fontId="24" fillId="0" borderId="0" xfId="0" applyFont="1"/>
    <xf numFmtId="14" fontId="0" fillId="0" borderId="76" xfId="0" applyNumberFormat="1" applyBorder="1" applyAlignment="1">
      <alignment horizontal="center"/>
    </xf>
    <xf numFmtId="14" fontId="0" fillId="0" borderId="44" xfId="0" applyNumberFormat="1" applyBorder="1" applyAlignment="1">
      <alignment horizontal="center"/>
    </xf>
    <xf numFmtId="14" fontId="0" fillId="0" borderId="77" xfId="0" applyNumberFormat="1" applyBorder="1" applyAlignment="1">
      <alignment horizontal="center"/>
    </xf>
    <xf numFmtId="0" fontId="2" fillId="10" borderId="61" xfId="0" applyFont="1" applyFill="1" applyBorder="1" applyAlignment="1">
      <alignment horizontal="center"/>
    </xf>
    <xf numFmtId="14" fontId="0" fillId="0" borderId="61" xfId="0" applyNumberFormat="1" applyBorder="1"/>
    <xf numFmtId="0" fontId="0" fillId="3" borderId="12" xfId="0" applyFill="1" applyBorder="1" applyAlignment="1">
      <alignment horizontal="center" wrapText="1"/>
    </xf>
    <xf numFmtId="0" fontId="0" fillId="3" borderId="19" xfId="0" applyFill="1" applyBorder="1" applyAlignment="1">
      <alignment horizontal="center" wrapText="1"/>
    </xf>
    <xf numFmtId="14" fontId="0" fillId="3" borderId="19" xfId="0" applyNumberFormat="1" applyFill="1" applyBorder="1" applyAlignment="1">
      <alignment horizontal="center" wrapText="1"/>
    </xf>
    <xf numFmtId="0" fontId="0" fillId="25" borderId="12" xfId="0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0" fillId="3" borderId="22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55" xfId="0" applyFill="1" applyBorder="1" applyAlignment="1">
      <alignment horizontal="center" wrapText="1"/>
    </xf>
    <xf numFmtId="0" fontId="0" fillId="3" borderId="43" xfId="0" applyFill="1" applyBorder="1" applyAlignment="1">
      <alignment horizontal="center" wrapText="1"/>
    </xf>
    <xf numFmtId="0" fontId="0" fillId="25" borderId="11" xfId="0" applyFill="1" applyBorder="1" applyAlignment="1">
      <alignment horizontal="center" wrapText="1"/>
    </xf>
    <xf numFmtId="0" fontId="0" fillId="3" borderId="52" xfId="0" applyFill="1" applyBorder="1" applyAlignment="1">
      <alignment horizontal="center" wrapText="1"/>
    </xf>
    <xf numFmtId="0" fontId="0" fillId="3" borderId="54" xfId="0" applyFill="1" applyBorder="1" applyAlignment="1">
      <alignment horizontal="center" wrapText="1"/>
    </xf>
    <xf numFmtId="0" fontId="10" fillId="3" borderId="52" xfId="1" applyFill="1" applyBorder="1" applyAlignment="1" applyProtection="1">
      <alignment horizontal="center"/>
    </xf>
    <xf numFmtId="0" fontId="0" fillId="3" borderId="52" xfId="0" applyFill="1" applyBorder="1" applyAlignment="1">
      <alignment horizontal="center"/>
    </xf>
    <xf numFmtId="0" fontId="0" fillId="3" borderId="52" xfId="0" applyFill="1" applyBorder="1" applyAlignment="1">
      <alignment horizontal="center" vertical="center" wrapText="1"/>
    </xf>
    <xf numFmtId="0" fontId="0" fillId="3" borderId="52" xfId="0" applyFill="1" applyBorder="1" applyAlignment="1">
      <alignment vertical="center" wrapText="1"/>
    </xf>
    <xf numFmtId="0" fontId="1" fillId="3" borderId="30" xfId="0" applyFont="1" applyFill="1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3" borderId="49" xfId="0" applyFill="1" applyBorder="1" applyAlignment="1">
      <alignment horizontal="center" wrapText="1"/>
    </xf>
    <xf numFmtId="0" fontId="0" fillId="3" borderId="79" xfId="0" applyFill="1" applyBorder="1" applyAlignment="1">
      <alignment horizontal="center" wrapText="1"/>
    </xf>
    <xf numFmtId="0" fontId="0" fillId="25" borderId="52" xfId="0" applyFill="1" applyBorder="1" applyAlignment="1">
      <alignment horizontal="center" wrapText="1"/>
    </xf>
    <xf numFmtId="0" fontId="0" fillId="25" borderId="80" xfId="0" applyFill="1" applyBorder="1" applyAlignment="1">
      <alignment horizontal="center" wrapText="1"/>
    </xf>
    <xf numFmtId="14" fontId="0" fillId="25" borderId="80" xfId="0" applyNumberFormat="1" applyFill="1" applyBorder="1" applyAlignment="1">
      <alignment horizontal="center" wrapText="1"/>
    </xf>
    <xf numFmtId="0" fontId="0" fillId="25" borderId="35" xfId="0" applyFill="1" applyBorder="1" applyAlignment="1">
      <alignment horizontal="center" wrapText="1"/>
    </xf>
    <xf numFmtId="0" fontId="0" fillId="25" borderId="35" xfId="0" applyFill="1" applyBorder="1" applyAlignment="1">
      <alignment horizontal="center" vertical="center" wrapText="1"/>
    </xf>
    <xf numFmtId="0" fontId="0" fillId="25" borderId="49" xfId="0" applyFill="1" applyBorder="1" applyAlignment="1">
      <alignment horizontal="center" wrapText="1"/>
    </xf>
    <xf numFmtId="0" fontId="0" fillId="3" borderId="23" xfId="0" applyFill="1" applyBorder="1" applyAlignment="1">
      <alignment horizontal="center" vertical="center" wrapText="1"/>
    </xf>
    <xf numFmtId="0" fontId="0" fillId="17" borderId="23" xfId="0" applyFill="1" applyBorder="1" applyAlignment="1">
      <alignment horizontal="left" wrapText="1"/>
    </xf>
    <xf numFmtId="0" fontId="0" fillId="25" borderId="44" xfId="0" applyFill="1" applyBorder="1" applyAlignment="1">
      <alignment horizontal="center" wrapText="1"/>
    </xf>
    <xf numFmtId="0" fontId="0" fillId="25" borderId="10" xfId="0" applyFill="1" applyBorder="1" applyAlignment="1">
      <alignment horizontal="center" vertical="center" wrapText="1"/>
    </xf>
    <xf numFmtId="0" fontId="0" fillId="25" borderId="49" xfId="0" applyFill="1" applyBorder="1" applyAlignment="1">
      <alignment horizontal="left" wrapText="1"/>
    </xf>
    <xf numFmtId="14" fontId="0" fillId="25" borderId="49" xfId="0" applyNumberFormat="1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0" fillId="5" borderId="31" xfId="0" applyFill="1" applyBorder="1" applyAlignment="1">
      <alignment horizontal="center" wrapText="1"/>
    </xf>
    <xf numFmtId="0" fontId="0" fillId="5" borderId="82" xfId="0" applyFill="1" applyBorder="1" applyAlignment="1">
      <alignment horizontal="center" wrapText="1"/>
    </xf>
    <xf numFmtId="0" fontId="0" fillId="0" borderId="82" xfId="0" applyBorder="1"/>
    <xf numFmtId="0" fontId="0" fillId="5" borderId="44" xfId="0" applyFill="1" applyBorder="1" applyAlignment="1">
      <alignment horizontal="center" wrapText="1"/>
    </xf>
    <xf numFmtId="0" fontId="0" fillId="5" borderId="10" xfId="0" applyFill="1" applyBorder="1" applyAlignment="1">
      <alignment vertical="center" wrapText="1"/>
    </xf>
    <xf numFmtId="0" fontId="0" fillId="5" borderId="10" xfId="0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wrapText="1"/>
    </xf>
    <xf numFmtId="0" fontId="8" fillId="5" borderId="10" xfId="0" applyFont="1" applyFill="1" applyBorder="1" applyAlignment="1">
      <alignment horizontal="center" wrapText="1"/>
    </xf>
    <xf numFmtId="14" fontId="0" fillId="5" borderId="49" xfId="0" applyNumberFormat="1" applyFill="1" applyBorder="1" applyAlignment="1">
      <alignment horizontal="center" wrapText="1"/>
    </xf>
    <xf numFmtId="14" fontId="9" fillId="5" borderId="49" xfId="0" applyNumberFormat="1" applyFont="1" applyFill="1" applyBorder="1" applyAlignment="1">
      <alignment horizontal="center" wrapText="1"/>
    </xf>
    <xf numFmtId="0" fontId="0" fillId="5" borderId="49" xfId="0" applyFill="1" applyBorder="1" applyAlignment="1">
      <alignment horizontal="center" wrapText="1"/>
    </xf>
    <xf numFmtId="0" fontId="0" fillId="5" borderId="49" xfId="0" applyFill="1" applyBorder="1" applyAlignment="1">
      <alignment vertical="center" wrapText="1"/>
    </xf>
    <xf numFmtId="14" fontId="0" fillId="5" borderId="10" xfId="0" applyNumberFormat="1" applyFill="1" applyBorder="1" applyAlignment="1">
      <alignment horizontal="center" wrapText="1"/>
    </xf>
    <xf numFmtId="14" fontId="9" fillId="5" borderId="10" xfId="0" applyNumberFormat="1" applyFont="1" applyFill="1" applyBorder="1" applyAlignment="1">
      <alignment horizontal="center" wrapText="1"/>
    </xf>
    <xf numFmtId="0" fontId="1" fillId="5" borderId="49" xfId="0" applyFont="1" applyFill="1" applyBorder="1" applyAlignment="1">
      <alignment horizontal="center" wrapText="1"/>
    </xf>
    <xf numFmtId="0" fontId="9" fillId="5" borderId="49" xfId="0" applyFont="1" applyFill="1" applyBorder="1" applyAlignment="1">
      <alignment horizontal="center" wrapText="1"/>
    </xf>
    <xf numFmtId="0" fontId="9" fillId="5" borderId="10" xfId="0" applyFont="1" applyFill="1" applyBorder="1" applyAlignment="1">
      <alignment horizontal="center" wrapText="1"/>
    </xf>
    <xf numFmtId="14" fontId="0" fillId="24" borderId="10" xfId="0" applyNumberFormat="1" applyFill="1" applyBorder="1" applyAlignment="1">
      <alignment vertical="center" wrapText="1"/>
    </xf>
    <xf numFmtId="0" fontId="0" fillId="5" borderId="52" xfId="0" applyFill="1" applyBorder="1" applyAlignment="1">
      <alignment horizontal="center" wrapText="1"/>
    </xf>
    <xf numFmtId="14" fontId="0" fillId="5" borderId="52" xfId="0" applyNumberFormat="1" applyFill="1" applyBorder="1" applyAlignment="1">
      <alignment horizontal="center" wrapText="1"/>
    </xf>
    <xf numFmtId="0" fontId="0" fillId="5" borderId="60" xfId="0" applyFill="1" applyBorder="1" applyAlignment="1">
      <alignment horizontal="center" wrapText="1"/>
    </xf>
    <xf numFmtId="0" fontId="0" fillId="5" borderId="31" xfId="0" applyFill="1" applyBorder="1" applyAlignment="1">
      <alignment vertical="center" wrapText="1"/>
    </xf>
    <xf numFmtId="0" fontId="2" fillId="5" borderId="31" xfId="0" applyFont="1" applyFill="1" applyBorder="1" applyAlignment="1">
      <alignment horizontal="center" wrapText="1"/>
    </xf>
    <xf numFmtId="14" fontId="0" fillId="5" borderId="82" xfId="0" applyNumberFormat="1" applyFill="1" applyBorder="1" applyAlignment="1">
      <alignment horizontal="center" wrapText="1"/>
    </xf>
    <xf numFmtId="14" fontId="0" fillId="5" borderId="31" xfId="0" applyNumberFormat="1" applyFill="1" applyBorder="1" applyAlignment="1">
      <alignment horizontal="center" wrapText="1"/>
    </xf>
    <xf numFmtId="0" fontId="0" fillId="5" borderId="78" xfId="0" applyFill="1" applyBorder="1" applyAlignment="1">
      <alignment horizontal="center" wrapText="1"/>
    </xf>
    <xf numFmtId="0" fontId="0" fillId="5" borderId="77" xfId="0" applyFill="1" applyBorder="1" applyAlignment="1">
      <alignment horizontal="center" wrapText="1"/>
    </xf>
    <xf numFmtId="0" fontId="0" fillId="5" borderId="11" xfId="0" applyFill="1" applyBorder="1" applyAlignment="1">
      <alignment vertical="center" wrapText="1"/>
    </xf>
    <xf numFmtId="0" fontId="0" fillId="5" borderId="11" xfId="0" applyFill="1" applyBorder="1" applyAlignment="1">
      <alignment horizontal="left" wrapText="1"/>
    </xf>
    <xf numFmtId="14" fontId="0" fillId="5" borderId="79" xfId="0" applyNumberFormat="1" applyFill="1" applyBorder="1" applyAlignment="1">
      <alignment horizontal="center" wrapText="1"/>
    </xf>
    <xf numFmtId="14" fontId="0" fillId="5" borderId="11" xfId="0" applyNumberFormat="1" applyFill="1" applyBorder="1" applyAlignment="1">
      <alignment horizontal="center" wrapText="1"/>
    </xf>
    <xf numFmtId="0" fontId="0" fillId="5" borderId="79" xfId="0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0" fillId="5" borderId="54" xfId="0" applyFill="1" applyBorder="1" applyAlignment="1">
      <alignment horizontal="center" wrapText="1"/>
    </xf>
    <xf numFmtId="0" fontId="2" fillId="10" borderId="86" xfId="0" applyFont="1" applyFill="1" applyBorder="1" applyAlignment="1">
      <alignment horizontal="center"/>
    </xf>
    <xf numFmtId="0" fontId="0" fillId="0" borderId="74" xfId="0" applyBorder="1"/>
    <xf numFmtId="14" fontId="0" fillId="0" borderId="74" xfId="0" applyNumberFormat="1" applyBorder="1"/>
    <xf numFmtId="0" fontId="2" fillId="10" borderId="97" xfId="0" applyFont="1" applyFill="1" applyBorder="1" applyAlignment="1">
      <alignment horizontal="center"/>
    </xf>
    <xf numFmtId="0" fontId="2" fillId="10" borderId="98" xfId="0" applyFont="1" applyFill="1" applyBorder="1" applyAlignment="1">
      <alignment horizontal="center"/>
    </xf>
    <xf numFmtId="0" fontId="2" fillId="10" borderId="99" xfId="0" applyFont="1" applyFill="1" applyBorder="1" applyAlignment="1">
      <alignment horizontal="center"/>
    </xf>
    <xf numFmtId="0" fontId="13" fillId="10" borderId="84" xfId="0" applyFont="1" applyFill="1" applyBorder="1" applyAlignment="1">
      <alignment horizontal="center"/>
    </xf>
    <xf numFmtId="0" fontId="13" fillId="10" borderId="86" xfId="0" applyFont="1" applyFill="1" applyBorder="1" applyAlignment="1">
      <alignment horizontal="center"/>
    </xf>
    <xf numFmtId="0" fontId="13" fillId="10" borderId="98" xfId="0" applyFont="1" applyFill="1" applyBorder="1" applyAlignment="1">
      <alignment horizontal="center"/>
    </xf>
    <xf numFmtId="0" fontId="2" fillId="10" borderId="100" xfId="0" applyFont="1" applyFill="1" applyBorder="1" applyAlignment="1">
      <alignment horizontal="center"/>
    </xf>
    <xf numFmtId="0" fontId="2" fillId="10" borderId="101" xfId="0" applyFont="1" applyFill="1" applyBorder="1" applyAlignment="1">
      <alignment horizontal="center"/>
    </xf>
    <xf numFmtId="0" fontId="13" fillId="10" borderId="101" xfId="0" applyFont="1" applyFill="1" applyBorder="1" applyAlignment="1">
      <alignment horizontal="center"/>
    </xf>
    <xf numFmtId="0" fontId="13" fillId="10" borderId="83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0" fillId="0" borderId="81" xfId="0" applyBorder="1" applyAlignment="1">
      <alignment horizont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4" fontId="0" fillId="0" borderId="23" xfId="0" applyNumberFormat="1" applyBorder="1"/>
    <xf numFmtId="0" fontId="0" fillId="0" borderId="81" xfId="0" applyBorder="1"/>
    <xf numFmtId="0" fontId="0" fillId="0" borderId="23" xfId="0" applyBorder="1"/>
    <xf numFmtId="0" fontId="0" fillId="0" borderId="102" xfId="0" applyBorder="1"/>
    <xf numFmtId="0" fontId="0" fillId="0" borderId="82" xfId="0" applyBorder="1" applyAlignment="1">
      <alignment horizontal="center"/>
    </xf>
    <xf numFmtId="0" fontId="0" fillId="0" borderId="31" xfId="0" applyBorder="1"/>
    <xf numFmtId="0" fontId="0" fillId="0" borderId="103" xfId="0" applyBorder="1"/>
    <xf numFmtId="0" fontId="0" fillId="0" borderId="104" xfId="0" applyBorder="1" applyAlignment="1">
      <alignment horizontal="center"/>
    </xf>
    <xf numFmtId="14" fontId="0" fillId="0" borderId="9" xfId="0" applyNumberFormat="1" applyBorder="1"/>
    <xf numFmtId="0" fontId="0" fillId="0" borderId="104" xfId="0" applyBorder="1"/>
    <xf numFmtId="0" fontId="0" fillId="0" borderId="9" xfId="0" applyFill="1" applyBorder="1" applyAlignment="1">
      <alignment horizontal="center"/>
    </xf>
    <xf numFmtId="0" fontId="0" fillId="0" borderId="9" xfId="0" applyBorder="1"/>
    <xf numFmtId="0" fontId="0" fillId="0" borderId="51" xfId="0" applyBorder="1"/>
    <xf numFmtId="0" fontId="0" fillId="0" borderId="79" xfId="0" applyBorder="1" applyAlignment="1">
      <alignment horizontal="center"/>
    </xf>
    <xf numFmtId="14" fontId="0" fillId="0" borderId="11" xfId="0" applyNumberFormat="1" applyBorder="1"/>
    <xf numFmtId="0" fontId="0" fillId="0" borderId="79" xfId="0" applyBorder="1"/>
    <xf numFmtId="0" fontId="0" fillId="0" borderId="11" xfId="0" applyFill="1" applyBorder="1" applyAlignment="1">
      <alignment horizontal="center"/>
    </xf>
    <xf numFmtId="0" fontId="0" fillId="0" borderId="11" xfId="0" applyBorder="1"/>
    <xf numFmtId="0" fontId="0" fillId="0" borderId="55" xfId="0" applyBorder="1"/>
    <xf numFmtId="14" fontId="0" fillId="0" borderId="31" xfId="0" applyNumberFormat="1" applyBorder="1"/>
    <xf numFmtId="0" fontId="0" fillId="0" borderId="3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14" fontId="0" fillId="0" borderId="79" xfId="0" applyNumberFormat="1" applyBorder="1"/>
    <xf numFmtId="14" fontId="0" fillId="0" borderId="104" xfId="0" applyNumberFormat="1" applyBorder="1"/>
    <xf numFmtId="0" fontId="9" fillId="25" borderId="52" xfId="0" applyFont="1" applyFill="1" applyBorder="1" applyAlignment="1">
      <alignment horizontal="center" vertical="center" wrapText="1"/>
    </xf>
    <xf numFmtId="0" fontId="9" fillId="25" borderId="102" xfId="0" applyFont="1" applyFill="1" applyBorder="1" applyAlignment="1">
      <alignment horizontal="center" wrapText="1"/>
    </xf>
    <xf numFmtId="0" fontId="9" fillId="25" borderId="23" xfId="0" applyFont="1" applyFill="1" applyBorder="1" applyAlignment="1">
      <alignment horizontal="center" wrapText="1"/>
    </xf>
    <xf numFmtId="0" fontId="0" fillId="25" borderId="23" xfId="0" applyFill="1" applyBorder="1" applyAlignment="1">
      <alignment horizontal="center" wrapText="1"/>
    </xf>
    <xf numFmtId="14" fontId="0" fillId="25" borderId="23" xfId="0" applyNumberFormat="1" applyFill="1" applyBorder="1" applyAlignment="1">
      <alignment horizontal="center" wrapText="1"/>
    </xf>
    <xf numFmtId="0" fontId="0" fillId="25" borderId="105" xfId="0" applyFill="1" applyBorder="1" applyAlignment="1">
      <alignment horizontal="center" wrapText="1"/>
    </xf>
    <xf numFmtId="14" fontId="0" fillId="25" borderId="106" xfId="0" applyNumberFormat="1" applyFill="1" applyBorder="1" applyAlignment="1">
      <alignment horizontal="center" wrapText="1"/>
    </xf>
    <xf numFmtId="0" fontId="0" fillId="25" borderId="106" xfId="0" applyFill="1" applyBorder="1" applyAlignment="1">
      <alignment horizontal="center" wrapText="1"/>
    </xf>
    <xf numFmtId="0" fontId="9" fillId="25" borderId="8" xfId="0" applyFont="1" applyFill="1" applyBorder="1" applyAlignment="1"/>
    <xf numFmtId="0" fontId="9" fillId="25" borderId="8" xfId="0" applyFont="1" applyFill="1" applyBorder="1" applyAlignment="1">
      <alignment horizontal="center" wrapText="1"/>
    </xf>
    <xf numFmtId="0" fontId="0" fillId="25" borderId="8" xfId="0" applyFill="1" applyBorder="1" applyAlignment="1">
      <alignment horizontal="center" wrapText="1"/>
    </xf>
    <xf numFmtId="14" fontId="0" fillId="25" borderId="8" xfId="0" applyNumberFormat="1" applyFill="1" applyBorder="1" applyAlignment="1">
      <alignment horizontal="center" wrapText="1"/>
    </xf>
    <xf numFmtId="0" fontId="0" fillId="25" borderId="8" xfId="0" applyFill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center" wrapText="1"/>
    </xf>
    <xf numFmtId="14" fontId="0" fillId="0" borderId="8" xfId="0" applyNumberFormat="1" applyBorder="1" applyAlignment="1">
      <alignment horizontal="center" wrapText="1"/>
    </xf>
    <xf numFmtId="17" fontId="0" fillId="0" borderId="0" xfId="0" applyNumberFormat="1" applyAlignment="1">
      <alignment horizontal="center" wrapText="1"/>
    </xf>
    <xf numFmtId="14" fontId="0" fillId="0" borderId="82" xfId="0" applyNumberFormat="1" applyBorder="1"/>
    <xf numFmtId="14" fontId="0" fillId="0" borderId="81" xfId="0" applyNumberFormat="1" applyBorder="1"/>
    <xf numFmtId="0" fontId="8" fillId="12" borderId="8" xfId="0" applyFont="1" applyFill="1" applyBorder="1"/>
    <xf numFmtId="16" fontId="0" fillId="25" borderId="10" xfId="0" applyNumberForma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13" borderId="12" xfId="0" applyFont="1" applyFill="1" applyBorder="1"/>
    <xf numFmtId="0" fontId="7" fillId="9" borderId="47" xfId="0" applyFont="1" applyFill="1" applyBorder="1"/>
    <xf numFmtId="0" fontId="7" fillId="9" borderId="107" xfId="0" applyFont="1" applyFill="1" applyBorder="1"/>
    <xf numFmtId="0" fontId="4" fillId="9" borderId="108" xfId="0" applyFont="1" applyFill="1" applyBorder="1"/>
    <xf numFmtId="0" fontId="4" fillId="4" borderId="19" xfId="0" applyFont="1" applyFill="1" applyBorder="1"/>
    <xf numFmtId="0" fontId="0" fillId="3" borderId="10" xfId="0" applyFill="1" applyBorder="1" applyAlignment="1">
      <alignment horizontal="center" textRotation="255" wrapText="1"/>
    </xf>
    <xf numFmtId="0" fontId="0" fillId="3" borderId="109" xfId="0" applyFill="1" applyBorder="1" applyAlignment="1">
      <alignment horizontal="center" wrapText="1"/>
    </xf>
    <xf numFmtId="0" fontId="10" fillId="3" borderId="78" xfId="1" applyFill="1" applyBorder="1" applyAlignment="1" applyProtection="1">
      <alignment horizontal="center"/>
    </xf>
    <xf numFmtId="14" fontId="0" fillId="3" borderId="103" xfId="0" applyNumberFormat="1" applyFill="1" applyBorder="1" applyAlignment="1">
      <alignment horizontal="center" wrapText="1"/>
    </xf>
    <xf numFmtId="0" fontId="0" fillId="3" borderId="103" xfId="0" applyFill="1" applyBorder="1" applyAlignment="1">
      <alignment horizontal="center" wrapText="1"/>
    </xf>
    <xf numFmtId="0" fontId="0" fillId="3" borderId="82" xfId="0" applyFill="1" applyBorder="1" applyAlignment="1">
      <alignment horizontal="center" wrapText="1"/>
    </xf>
    <xf numFmtId="0" fontId="0" fillId="3" borderId="110" xfId="0" applyFill="1" applyBorder="1" applyAlignment="1">
      <alignment horizontal="center" wrapText="1"/>
    </xf>
    <xf numFmtId="14" fontId="0" fillId="3" borderId="109" xfId="0" applyNumberFormat="1" applyFill="1" applyBorder="1" applyAlignment="1">
      <alignment horizontal="center" wrapText="1"/>
    </xf>
    <xf numFmtId="0" fontId="0" fillId="25" borderId="31" xfId="0" applyFill="1" applyBorder="1" applyAlignment="1">
      <alignment horizontal="center" wrapText="1"/>
    </xf>
    <xf numFmtId="0" fontId="0" fillId="25" borderId="78" xfId="0" applyFill="1" applyBorder="1" applyAlignment="1">
      <alignment horizontal="center" wrapText="1"/>
    </xf>
    <xf numFmtId="0" fontId="0" fillId="25" borderId="111" xfId="0" applyFill="1" applyBorder="1" applyAlignment="1">
      <alignment horizontal="center" wrapText="1"/>
    </xf>
    <xf numFmtId="14" fontId="0" fillId="25" borderId="31" xfId="0" applyNumberFormat="1" applyFill="1" applyBorder="1" applyAlignment="1">
      <alignment horizontal="center" wrapText="1"/>
    </xf>
    <xf numFmtId="0" fontId="0" fillId="3" borderId="78" xfId="0" applyFill="1" applyBorder="1" applyAlignment="1">
      <alignment horizontal="center" wrapText="1"/>
    </xf>
    <xf numFmtId="14" fontId="0" fillId="25" borderId="111" xfId="0" applyNumberFormat="1" applyFill="1" applyBorder="1" applyAlignment="1">
      <alignment horizontal="center" wrapText="1"/>
    </xf>
    <xf numFmtId="0" fontId="4" fillId="11" borderId="19" xfId="0" applyFont="1" applyFill="1" applyBorder="1"/>
    <xf numFmtId="0" fontId="4" fillId="4" borderId="12" xfId="0" applyFont="1" applyFill="1" applyBorder="1"/>
    <xf numFmtId="0" fontId="4" fillId="4" borderId="30" xfId="0" applyFont="1" applyFill="1" applyBorder="1"/>
    <xf numFmtId="0" fontId="4" fillId="12" borderId="12" xfId="0" applyFont="1" applyFill="1" applyBorder="1"/>
    <xf numFmtId="14" fontId="0" fillId="3" borderId="52" xfId="0" applyNumberFormat="1" applyFill="1" applyBorder="1" applyAlignment="1">
      <alignment horizontal="center" wrapText="1"/>
    </xf>
    <xf numFmtId="14" fontId="0" fillId="25" borderId="52" xfId="0" applyNumberFormat="1" applyFill="1" applyBorder="1" applyAlignment="1">
      <alignment horizontal="center" wrapText="1"/>
    </xf>
    <xf numFmtId="0" fontId="0" fillId="3" borderId="10" xfId="0" applyFill="1" applyBorder="1" applyAlignment="1">
      <alignment horizontal="center"/>
    </xf>
    <xf numFmtId="0" fontId="0" fillId="4" borderId="0" xfId="0" applyFill="1"/>
    <xf numFmtId="0" fontId="2" fillId="14" borderId="5" xfId="0" applyFont="1" applyFill="1" applyBorder="1" applyAlignment="1">
      <alignment horizontal="center" vertical="center" wrapText="1"/>
    </xf>
    <xf numFmtId="0" fontId="0" fillId="14" borderId="105" xfId="0" applyFont="1" applyFill="1" applyBorder="1" applyAlignment="1">
      <alignment horizontal="center" vertical="center" wrapText="1"/>
    </xf>
    <xf numFmtId="0" fontId="0" fillId="14" borderId="102" xfId="0" applyFill="1" applyBorder="1" applyAlignment="1">
      <alignment horizontal="left" wrapText="1"/>
    </xf>
    <xf numFmtId="0" fontId="0" fillId="3" borderId="53" xfId="0" applyFill="1" applyBorder="1"/>
    <xf numFmtId="0" fontId="0" fillId="3" borderId="13" xfId="0" applyFill="1" applyBorder="1"/>
    <xf numFmtId="0" fontId="0" fillId="18" borderId="13" xfId="0" applyFill="1" applyBorder="1"/>
    <xf numFmtId="0" fontId="0" fillId="18" borderId="112" xfId="0" applyFill="1" applyBorder="1"/>
    <xf numFmtId="0" fontId="0" fillId="0" borderId="45" xfId="0" applyBorder="1"/>
    <xf numFmtId="0" fontId="0" fillId="0" borderId="13" xfId="0" applyBorder="1"/>
    <xf numFmtId="0" fontId="4" fillId="12" borderId="13" xfId="0" applyFont="1" applyFill="1" applyBorder="1"/>
    <xf numFmtId="0" fontId="0" fillId="0" borderId="46" xfId="0" applyBorder="1"/>
    <xf numFmtId="0" fontId="0" fillId="0" borderId="45" xfId="0" applyFill="1" applyBorder="1"/>
    <xf numFmtId="0" fontId="0" fillId="0" borderId="13" xfId="0" applyFill="1" applyBorder="1"/>
    <xf numFmtId="0" fontId="0" fillId="0" borderId="46" xfId="0" applyFill="1" applyBorder="1"/>
    <xf numFmtId="0" fontId="0" fillId="4" borderId="13" xfId="0" applyFill="1" applyBorder="1"/>
    <xf numFmtId="0" fontId="4" fillId="0" borderId="46" xfId="0" applyFont="1" applyFill="1" applyBorder="1"/>
    <xf numFmtId="0" fontId="0" fillId="4" borderId="53" xfId="0" applyFill="1" applyBorder="1"/>
    <xf numFmtId="0" fontId="4" fillId="13" borderId="13" xfId="0" applyFont="1" applyFill="1" applyBorder="1"/>
    <xf numFmtId="0" fontId="4" fillId="13" borderId="113" xfId="0" applyFont="1" applyFill="1" applyBorder="1"/>
    <xf numFmtId="0" fontId="0" fillId="0" borderId="8" xfId="0" applyFont="1" applyBorder="1" applyAlignment="1">
      <alignment horizontal="center" vertical="center"/>
    </xf>
    <xf numFmtId="0" fontId="0" fillId="14" borderId="8" xfId="0" applyFill="1" applyBorder="1" applyAlignment="1">
      <alignment horizontal="left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49" xfId="0" applyFill="1" applyBorder="1" applyAlignment="1">
      <alignment horizontal="center" vertical="center" wrapText="1"/>
    </xf>
    <xf numFmtId="0" fontId="0" fillId="2" borderId="79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16" fillId="0" borderId="37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 textRotation="90" wrapText="1"/>
    </xf>
    <xf numFmtId="0" fontId="11" fillId="14" borderId="10" xfId="0" applyFont="1" applyFill="1" applyBorder="1" applyAlignment="1">
      <alignment horizontal="center" vertical="center" textRotation="90" wrapText="1"/>
    </xf>
    <xf numFmtId="0" fontId="11" fillId="14" borderId="23" xfId="0" applyFont="1" applyFill="1" applyBorder="1" applyAlignment="1">
      <alignment horizontal="center" vertical="center" textRotation="90" wrapText="1"/>
    </xf>
    <xf numFmtId="0" fontId="11" fillId="3" borderId="5" xfId="0" applyFont="1" applyFill="1" applyBorder="1" applyAlignment="1">
      <alignment horizontal="center" vertical="center" textRotation="90" wrapText="1"/>
    </xf>
    <xf numFmtId="0" fontId="11" fillId="3" borderId="6" xfId="0" applyFont="1" applyFill="1" applyBorder="1" applyAlignment="1">
      <alignment horizontal="center" vertical="center" textRotation="90" wrapText="1"/>
    </xf>
    <xf numFmtId="0" fontId="11" fillId="3" borderId="7" xfId="0" applyFont="1" applyFill="1" applyBorder="1" applyAlignment="1">
      <alignment horizontal="center" vertical="center" textRotation="90" wrapText="1"/>
    </xf>
    <xf numFmtId="0" fontId="0" fillId="0" borderId="3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8" xfId="0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7" fillId="0" borderId="41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11" fillId="10" borderId="9" xfId="0" applyFont="1" applyFill="1" applyBorder="1" applyAlignment="1">
      <alignment horizontal="center" vertical="center" textRotation="90" wrapText="1"/>
    </xf>
    <xf numFmtId="0" fontId="11" fillId="10" borderId="10" xfId="0" applyFont="1" applyFill="1" applyBorder="1" applyAlignment="1">
      <alignment horizontal="center" vertical="center" textRotation="90" wrapText="1"/>
    </xf>
    <xf numFmtId="0" fontId="11" fillId="10" borderId="11" xfId="0" applyFont="1" applyFill="1" applyBorder="1" applyAlignment="1">
      <alignment horizontal="center" vertical="center" textRotation="90" wrapText="1"/>
    </xf>
    <xf numFmtId="0" fontId="11" fillId="14" borderId="9" xfId="0" applyFont="1" applyFill="1" applyBorder="1" applyAlignment="1">
      <alignment vertical="center" textRotation="90" wrapText="1"/>
    </xf>
    <xf numFmtId="0" fontId="11" fillId="14" borderId="10" xfId="0" applyFont="1" applyFill="1" applyBorder="1" applyAlignment="1">
      <alignment vertical="center" textRotation="90" wrapText="1"/>
    </xf>
    <xf numFmtId="0" fontId="11" fillId="14" borderId="11" xfId="0" applyFont="1" applyFill="1" applyBorder="1" applyAlignment="1">
      <alignment vertical="center" textRotation="90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3" fillId="15" borderId="5" xfId="0" applyFont="1" applyFill="1" applyBorder="1"/>
    <xf numFmtId="0" fontId="13" fillId="15" borderId="26" xfId="0" applyFont="1" applyFill="1" applyBorder="1"/>
    <xf numFmtId="0" fontId="14" fillId="16" borderId="29" xfId="0" applyFont="1" applyFill="1" applyBorder="1" applyAlignment="1">
      <alignment horizontal="center"/>
    </xf>
    <xf numFmtId="0" fontId="14" fillId="16" borderId="6" xfId="0" applyFont="1" applyFill="1" applyBorder="1" applyAlignment="1">
      <alignment horizontal="center"/>
    </xf>
    <xf numFmtId="0" fontId="14" fillId="16" borderId="5" xfId="0" applyFont="1" applyFill="1" applyBorder="1"/>
    <xf numFmtId="0" fontId="14" fillId="16" borderId="6" xfId="0" applyFont="1" applyFill="1" applyBorder="1"/>
    <xf numFmtId="0" fontId="14" fillId="16" borderId="26" xfId="0" applyFont="1" applyFill="1" applyBorder="1"/>
    <xf numFmtId="0" fontId="14" fillId="16" borderId="29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4" fillId="16" borderId="39" xfId="0" applyFont="1" applyFill="1" applyBorder="1" applyAlignment="1">
      <alignment horizontal="center" vertical="top"/>
    </xf>
    <xf numFmtId="0" fontId="14" fillId="16" borderId="24" xfId="0" applyFont="1" applyFill="1" applyBorder="1" applyAlignment="1">
      <alignment horizontal="center" vertical="top"/>
    </xf>
    <xf numFmtId="0" fontId="14" fillId="16" borderId="29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14" fillId="16" borderId="26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0" fontId="2" fillId="22" borderId="35" xfId="0" applyFont="1" applyFill="1" applyBorder="1" applyAlignment="1">
      <alignment horizontal="center"/>
    </xf>
    <xf numFmtId="0" fontId="13" fillId="15" borderId="6" xfId="0" applyFont="1" applyFill="1" applyBorder="1"/>
    <xf numFmtId="0" fontId="14" fillId="16" borderId="29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26" xfId="0" applyFont="1" applyFill="1" applyBorder="1" applyAlignment="1">
      <alignment vertical="center" wrapText="1"/>
    </xf>
    <xf numFmtId="0" fontId="14" fillId="16" borderId="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7" fillId="0" borderId="0" xfId="0" applyFont="1" applyAlignment="1">
      <alignment horizontal="center"/>
    </xf>
    <xf numFmtId="0" fontId="0" fillId="0" borderId="4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93" xfId="0" applyBorder="1" applyAlignment="1">
      <alignment horizontal="center"/>
    </xf>
    <xf numFmtId="0" fontId="2" fillId="10" borderId="62" xfId="0" applyFont="1" applyFill="1" applyBorder="1" applyAlignment="1">
      <alignment horizontal="center"/>
    </xf>
    <xf numFmtId="0" fontId="2" fillId="10" borderId="74" xfId="0" applyFont="1" applyFill="1" applyBorder="1" applyAlignment="1">
      <alignment horizontal="center"/>
    </xf>
    <xf numFmtId="0" fontId="2" fillId="10" borderId="75" xfId="0" applyFont="1" applyFill="1" applyBorder="1" applyAlignment="1">
      <alignment horizontal="center"/>
    </xf>
    <xf numFmtId="0" fontId="2" fillId="10" borderId="86" xfId="0" applyFont="1" applyFill="1" applyBorder="1" applyAlignment="1">
      <alignment horizontal="center"/>
    </xf>
    <xf numFmtId="0" fontId="2" fillId="10" borderId="87" xfId="0" applyFont="1" applyFill="1" applyBorder="1" applyAlignment="1">
      <alignment horizontal="center"/>
    </xf>
    <xf numFmtId="0" fontId="2" fillId="10" borderId="88" xfId="0" applyFont="1" applyFill="1" applyBorder="1" applyAlignment="1">
      <alignment horizontal="center"/>
    </xf>
    <xf numFmtId="0" fontId="2" fillId="10" borderId="89" xfId="0" applyFont="1" applyFill="1" applyBorder="1" applyAlignment="1">
      <alignment horizontal="center"/>
    </xf>
    <xf numFmtId="0" fontId="2" fillId="10" borderId="90" xfId="0" applyFont="1" applyFill="1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90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/>
    </xf>
    <xf numFmtId="0" fontId="13" fillId="10" borderId="62" xfId="0" applyFont="1" applyFill="1" applyBorder="1" applyAlignment="1">
      <alignment horizontal="center"/>
    </xf>
    <xf numFmtId="0" fontId="13" fillId="10" borderId="63" xfId="0" applyFont="1" applyFill="1" applyBorder="1" applyAlignment="1">
      <alignment horizontal="center"/>
    </xf>
    <xf numFmtId="0" fontId="13" fillId="10" borderId="74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4" fillId="2" borderId="0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24" fillId="2" borderId="3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3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MAESTRO2.xls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MAESTRO2.xlsm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MAESTRO2.xlsm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302419</xdr:colOff>
      <xdr:row>24</xdr:row>
      <xdr:rowOff>23812</xdr:rowOff>
    </xdr:from>
    <xdr:to>
      <xdr:col>4</xdr:col>
      <xdr:colOff>902494</xdr:colOff>
      <xdr:row>28</xdr:row>
      <xdr:rowOff>49212</xdr:rowOff>
    </xdr:to>
    <xdr:pic>
      <xdr:nvPicPr>
        <xdr:cNvPr id="2" name="1 Imagen" descr="VOLVER MAESTRO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17294" y="5214937"/>
          <a:ext cx="600075" cy="799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697593</xdr:colOff>
      <xdr:row>1</xdr:row>
      <xdr:rowOff>136072</xdr:rowOff>
    </xdr:from>
    <xdr:to>
      <xdr:col>35</xdr:col>
      <xdr:colOff>535668</xdr:colOff>
      <xdr:row>4</xdr:row>
      <xdr:rowOff>92529</xdr:rowOff>
    </xdr:to>
    <xdr:pic>
      <xdr:nvPicPr>
        <xdr:cNvPr id="2" name="1 Imagen" descr="VOLVER MAESTRO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40700" y="326572"/>
          <a:ext cx="600075" cy="800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103</xdr:col>
      <xdr:colOff>675217</xdr:colOff>
      <xdr:row>100</xdr:row>
      <xdr:rowOff>166158</xdr:rowOff>
    </xdr:from>
    <xdr:to>
      <xdr:col>104</xdr:col>
      <xdr:colOff>249766</xdr:colOff>
      <xdr:row>103</xdr:row>
      <xdr:rowOff>26456</xdr:rowOff>
    </xdr:to>
    <xdr:pic>
      <xdr:nvPicPr>
        <xdr:cNvPr id="2" name="1 Imagen" descr="VOLVER MAESTRO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169800" y="20316825"/>
          <a:ext cx="336549" cy="4317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274108</xdr:colOff>
      <xdr:row>3</xdr:row>
      <xdr:rowOff>115358</xdr:rowOff>
    </xdr:from>
    <xdr:to>
      <xdr:col>1</xdr:col>
      <xdr:colOff>693208</xdr:colOff>
      <xdr:row>5</xdr:row>
      <xdr:rowOff>134408</xdr:rowOff>
    </xdr:to>
    <xdr:sp macro="" textlink="">
      <xdr:nvSpPr>
        <xdr:cNvPr id="2" name="1 Elips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036108" y="696383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96308</xdr:colOff>
      <xdr:row>3</xdr:row>
      <xdr:rowOff>121708</xdr:rowOff>
    </xdr:from>
    <xdr:to>
      <xdr:col>2</xdr:col>
      <xdr:colOff>515408</xdr:colOff>
      <xdr:row>5</xdr:row>
      <xdr:rowOff>140758</xdr:rowOff>
    </xdr:to>
    <xdr:sp macro="" textlink="">
      <xdr:nvSpPr>
        <xdr:cNvPr id="3" name="2 Elips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620308" y="702733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264583</xdr:colOff>
      <xdr:row>7</xdr:row>
      <xdr:rowOff>58208</xdr:rowOff>
    </xdr:from>
    <xdr:to>
      <xdr:col>1</xdr:col>
      <xdr:colOff>683683</xdr:colOff>
      <xdr:row>9</xdr:row>
      <xdr:rowOff>77258</xdr:rowOff>
    </xdr:to>
    <xdr:sp macro="" textlink="">
      <xdr:nvSpPr>
        <xdr:cNvPr id="4" name="3 Elips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026583" y="1439333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86783</xdr:colOff>
      <xdr:row>7</xdr:row>
      <xdr:rowOff>64558</xdr:rowOff>
    </xdr:from>
    <xdr:to>
      <xdr:col>2</xdr:col>
      <xdr:colOff>505883</xdr:colOff>
      <xdr:row>9</xdr:row>
      <xdr:rowOff>83608</xdr:rowOff>
    </xdr:to>
    <xdr:sp macro="" textlink="">
      <xdr:nvSpPr>
        <xdr:cNvPr id="5" name="4 Elips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10783" y="1445683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264583</xdr:colOff>
      <xdr:row>10</xdr:row>
      <xdr:rowOff>153458</xdr:rowOff>
    </xdr:from>
    <xdr:to>
      <xdr:col>1</xdr:col>
      <xdr:colOff>683683</xdr:colOff>
      <xdr:row>12</xdr:row>
      <xdr:rowOff>172508</xdr:rowOff>
    </xdr:to>
    <xdr:sp macro="" textlink="">
      <xdr:nvSpPr>
        <xdr:cNvPr id="6" name="5 Elips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026583" y="2134658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86783</xdr:colOff>
      <xdr:row>10</xdr:row>
      <xdr:rowOff>159808</xdr:rowOff>
    </xdr:from>
    <xdr:to>
      <xdr:col>2</xdr:col>
      <xdr:colOff>505883</xdr:colOff>
      <xdr:row>12</xdr:row>
      <xdr:rowOff>178858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610783" y="2141008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255058</xdr:colOff>
      <xdr:row>14</xdr:row>
      <xdr:rowOff>96308</xdr:rowOff>
    </xdr:from>
    <xdr:to>
      <xdr:col>1</xdr:col>
      <xdr:colOff>674158</xdr:colOff>
      <xdr:row>16</xdr:row>
      <xdr:rowOff>115358</xdr:rowOff>
    </xdr:to>
    <xdr:sp macro="" textlink="">
      <xdr:nvSpPr>
        <xdr:cNvPr id="8" name="7 Elips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017058" y="2877608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77258</xdr:colOff>
      <xdr:row>14</xdr:row>
      <xdr:rowOff>102658</xdr:rowOff>
    </xdr:from>
    <xdr:to>
      <xdr:col>2</xdr:col>
      <xdr:colOff>496358</xdr:colOff>
      <xdr:row>16</xdr:row>
      <xdr:rowOff>121708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601258" y="2883958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485775</xdr:colOff>
      <xdr:row>3</xdr:row>
      <xdr:rowOff>28575</xdr:rowOff>
    </xdr:from>
    <xdr:to>
      <xdr:col>5</xdr:col>
      <xdr:colOff>142875</xdr:colOff>
      <xdr:row>5</xdr:row>
      <xdr:rowOff>47625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3714750" y="609600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297391</xdr:colOff>
      <xdr:row>3</xdr:row>
      <xdr:rowOff>45509</xdr:rowOff>
    </xdr:from>
    <xdr:to>
      <xdr:col>5</xdr:col>
      <xdr:colOff>716491</xdr:colOff>
      <xdr:row>5</xdr:row>
      <xdr:rowOff>64559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3669241" y="626534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476250</xdr:colOff>
      <xdr:row>6</xdr:row>
      <xdr:rowOff>161925</xdr:rowOff>
    </xdr:from>
    <xdr:to>
      <xdr:col>5</xdr:col>
      <xdr:colOff>133350</xdr:colOff>
      <xdr:row>8</xdr:row>
      <xdr:rowOff>180975</xdr:rowOff>
    </xdr:to>
    <xdr:sp macro="" textlink="">
      <xdr:nvSpPr>
        <xdr:cNvPr id="12" name="11 Elips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705225" y="1343025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287866</xdr:colOff>
      <xdr:row>6</xdr:row>
      <xdr:rowOff>178859</xdr:rowOff>
    </xdr:from>
    <xdr:to>
      <xdr:col>5</xdr:col>
      <xdr:colOff>706966</xdr:colOff>
      <xdr:row>9</xdr:row>
      <xdr:rowOff>7409</xdr:rowOff>
    </xdr:to>
    <xdr:sp macro="" textlink="">
      <xdr:nvSpPr>
        <xdr:cNvPr id="13" name="12 Elipse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4278841" y="1359959"/>
          <a:ext cx="419100" cy="4286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476250</xdr:colOff>
      <xdr:row>10</xdr:row>
      <xdr:rowOff>66675</xdr:rowOff>
    </xdr:from>
    <xdr:to>
      <xdr:col>5</xdr:col>
      <xdr:colOff>133350</xdr:colOff>
      <xdr:row>12</xdr:row>
      <xdr:rowOff>85725</xdr:rowOff>
    </xdr:to>
    <xdr:sp macro="" textlink="">
      <xdr:nvSpPr>
        <xdr:cNvPr id="14" name="13 Elipse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3705225" y="2047875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287866</xdr:colOff>
      <xdr:row>10</xdr:row>
      <xdr:rowOff>83609</xdr:rowOff>
    </xdr:from>
    <xdr:to>
      <xdr:col>5</xdr:col>
      <xdr:colOff>706966</xdr:colOff>
      <xdr:row>12</xdr:row>
      <xdr:rowOff>102659</xdr:rowOff>
    </xdr:to>
    <xdr:sp macro="" textlink="">
      <xdr:nvSpPr>
        <xdr:cNvPr id="15" name="14 Elipse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4278841" y="2064809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466725</xdr:colOff>
      <xdr:row>14</xdr:row>
      <xdr:rowOff>9525</xdr:rowOff>
    </xdr:from>
    <xdr:to>
      <xdr:col>5</xdr:col>
      <xdr:colOff>123825</xdr:colOff>
      <xdr:row>16</xdr:row>
      <xdr:rowOff>28575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3695700" y="2790825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278341</xdr:colOff>
      <xdr:row>14</xdr:row>
      <xdr:rowOff>26459</xdr:rowOff>
    </xdr:from>
    <xdr:to>
      <xdr:col>5</xdr:col>
      <xdr:colOff>697441</xdr:colOff>
      <xdr:row>16</xdr:row>
      <xdr:rowOff>45509</xdr:rowOff>
    </xdr:to>
    <xdr:sp macro="" textlink="">
      <xdr:nvSpPr>
        <xdr:cNvPr id="17" name="16 Elipse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4269316" y="2807759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84667</xdr:colOff>
      <xdr:row>4</xdr:row>
      <xdr:rowOff>30692</xdr:rowOff>
    </xdr:from>
    <xdr:to>
      <xdr:col>7</xdr:col>
      <xdr:colOff>503767</xdr:colOff>
      <xdr:row>6</xdr:row>
      <xdr:rowOff>49742</xdr:rowOff>
    </xdr:to>
    <xdr:sp macro="" textlink="">
      <xdr:nvSpPr>
        <xdr:cNvPr id="18" name="17 Elipse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5056717" y="811742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8</xdr:col>
      <xdr:colOff>110067</xdr:colOff>
      <xdr:row>4</xdr:row>
      <xdr:rowOff>20108</xdr:rowOff>
    </xdr:from>
    <xdr:to>
      <xdr:col>8</xdr:col>
      <xdr:colOff>529167</xdr:colOff>
      <xdr:row>6</xdr:row>
      <xdr:rowOff>39158</xdr:rowOff>
    </xdr:to>
    <xdr:sp macro="" textlink="">
      <xdr:nvSpPr>
        <xdr:cNvPr id="19" name="18 Elipse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5844117" y="801158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9</xdr:col>
      <xdr:colOff>85726</xdr:colOff>
      <xdr:row>4</xdr:row>
      <xdr:rowOff>31750</xdr:rowOff>
    </xdr:from>
    <xdr:to>
      <xdr:col>9</xdr:col>
      <xdr:colOff>504826</xdr:colOff>
      <xdr:row>6</xdr:row>
      <xdr:rowOff>50800</xdr:rowOff>
    </xdr:to>
    <xdr:sp macro="" textlink="">
      <xdr:nvSpPr>
        <xdr:cNvPr id="20" name="19 Elipse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6581776" y="812800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100542</xdr:colOff>
      <xdr:row>7</xdr:row>
      <xdr:rowOff>127000</xdr:rowOff>
    </xdr:from>
    <xdr:to>
      <xdr:col>7</xdr:col>
      <xdr:colOff>519642</xdr:colOff>
      <xdr:row>9</xdr:row>
      <xdr:rowOff>146050</xdr:rowOff>
    </xdr:to>
    <xdr:sp macro="" textlink="">
      <xdr:nvSpPr>
        <xdr:cNvPr id="21" name="20 Elipse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5072592" y="1508125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8</xdr:col>
      <xdr:colOff>94192</xdr:colOff>
      <xdr:row>7</xdr:row>
      <xdr:rowOff>137583</xdr:rowOff>
    </xdr:from>
    <xdr:to>
      <xdr:col>8</xdr:col>
      <xdr:colOff>513292</xdr:colOff>
      <xdr:row>9</xdr:row>
      <xdr:rowOff>156633</xdr:rowOff>
    </xdr:to>
    <xdr:sp macro="" textlink="">
      <xdr:nvSpPr>
        <xdr:cNvPr id="22" name="21 Elipse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5828242" y="1518708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9</xdr:col>
      <xdr:colOff>69851</xdr:colOff>
      <xdr:row>7</xdr:row>
      <xdr:rowOff>149225</xdr:rowOff>
    </xdr:from>
    <xdr:to>
      <xdr:col>9</xdr:col>
      <xdr:colOff>488951</xdr:colOff>
      <xdr:row>9</xdr:row>
      <xdr:rowOff>168275</xdr:rowOff>
    </xdr:to>
    <xdr:sp macro="" textlink="">
      <xdr:nvSpPr>
        <xdr:cNvPr id="23" name="22 Elipse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6565901" y="1530350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105834</xdr:colOff>
      <xdr:row>11</xdr:row>
      <xdr:rowOff>20109</xdr:rowOff>
    </xdr:from>
    <xdr:to>
      <xdr:col>7</xdr:col>
      <xdr:colOff>524934</xdr:colOff>
      <xdr:row>13</xdr:row>
      <xdr:rowOff>39159</xdr:rowOff>
    </xdr:to>
    <xdr:sp macro="" textlink="">
      <xdr:nvSpPr>
        <xdr:cNvPr id="24" name="23 Elipse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5077884" y="2201334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8</xdr:col>
      <xdr:colOff>78317</xdr:colOff>
      <xdr:row>11</xdr:row>
      <xdr:rowOff>41275</xdr:rowOff>
    </xdr:from>
    <xdr:to>
      <xdr:col>8</xdr:col>
      <xdr:colOff>497417</xdr:colOff>
      <xdr:row>13</xdr:row>
      <xdr:rowOff>60325</xdr:rowOff>
    </xdr:to>
    <xdr:sp macro="" textlink="">
      <xdr:nvSpPr>
        <xdr:cNvPr id="25" name="24 Elipse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5812367" y="2222500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9</xdr:col>
      <xdr:colOff>53976</xdr:colOff>
      <xdr:row>11</xdr:row>
      <xdr:rowOff>52917</xdr:rowOff>
    </xdr:from>
    <xdr:to>
      <xdr:col>9</xdr:col>
      <xdr:colOff>473076</xdr:colOff>
      <xdr:row>13</xdr:row>
      <xdr:rowOff>71967</xdr:rowOff>
    </xdr:to>
    <xdr:sp macro="" textlink="">
      <xdr:nvSpPr>
        <xdr:cNvPr id="26" name="25 Elipse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6550026" y="2234142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95250</xdr:colOff>
      <xdr:row>15</xdr:row>
      <xdr:rowOff>2118</xdr:rowOff>
    </xdr:from>
    <xdr:to>
      <xdr:col>7</xdr:col>
      <xdr:colOff>514350</xdr:colOff>
      <xdr:row>17</xdr:row>
      <xdr:rowOff>21168</xdr:rowOff>
    </xdr:to>
    <xdr:sp macro="" textlink="">
      <xdr:nvSpPr>
        <xdr:cNvPr id="27" name="26 Elipse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5067300" y="2983443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8</xdr:col>
      <xdr:colOff>78317</xdr:colOff>
      <xdr:row>15</xdr:row>
      <xdr:rowOff>12700</xdr:rowOff>
    </xdr:from>
    <xdr:to>
      <xdr:col>8</xdr:col>
      <xdr:colOff>497417</xdr:colOff>
      <xdr:row>17</xdr:row>
      <xdr:rowOff>31750</xdr:rowOff>
    </xdr:to>
    <xdr:sp macro="" textlink="">
      <xdr:nvSpPr>
        <xdr:cNvPr id="28" name="27 Elipse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5812367" y="2994025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9</xdr:col>
      <xdr:colOff>53976</xdr:colOff>
      <xdr:row>15</xdr:row>
      <xdr:rowOff>24342</xdr:rowOff>
    </xdr:from>
    <xdr:to>
      <xdr:col>9</xdr:col>
      <xdr:colOff>473076</xdr:colOff>
      <xdr:row>17</xdr:row>
      <xdr:rowOff>43392</xdr:rowOff>
    </xdr:to>
    <xdr:sp macro="" textlink="">
      <xdr:nvSpPr>
        <xdr:cNvPr id="29" name="28 Elipse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6550026" y="3005667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133350</xdr:colOff>
      <xdr:row>20</xdr:row>
      <xdr:rowOff>91018</xdr:rowOff>
    </xdr:from>
    <xdr:to>
      <xdr:col>7</xdr:col>
      <xdr:colOff>552450</xdr:colOff>
      <xdr:row>22</xdr:row>
      <xdr:rowOff>110068</xdr:rowOff>
    </xdr:to>
    <xdr:sp macro="" textlink="">
      <xdr:nvSpPr>
        <xdr:cNvPr id="30" name="29 Elipse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5105400" y="4072468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8</xdr:col>
      <xdr:colOff>127000</xdr:colOff>
      <xdr:row>20</xdr:row>
      <xdr:rowOff>80433</xdr:rowOff>
    </xdr:from>
    <xdr:to>
      <xdr:col>8</xdr:col>
      <xdr:colOff>546100</xdr:colOff>
      <xdr:row>22</xdr:row>
      <xdr:rowOff>99483</xdr:rowOff>
    </xdr:to>
    <xdr:sp macro="" textlink="">
      <xdr:nvSpPr>
        <xdr:cNvPr id="31" name="30 Elipse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5861050" y="4061883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9</xdr:col>
      <xdr:colOff>92076</xdr:colOff>
      <xdr:row>20</xdr:row>
      <xdr:rowOff>81492</xdr:rowOff>
    </xdr:from>
    <xdr:to>
      <xdr:col>9</xdr:col>
      <xdr:colOff>511176</xdr:colOff>
      <xdr:row>22</xdr:row>
      <xdr:rowOff>100542</xdr:rowOff>
    </xdr:to>
    <xdr:sp macro="" textlink="">
      <xdr:nvSpPr>
        <xdr:cNvPr id="32" name="31 Elipse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6588126" y="4062942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539750</xdr:colOff>
      <xdr:row>20</xdr:row>
      <xdr:rowOff>85725</xdr:rowOff>
    </xdr:from>
    <xdr:to>
      <xdr:col>2</xdr:col>
      <xdr:colOff>196850</xdr:colOff>
      <xdr:row>22</xdr:row>
      <xdr:rowOff>104775</xdr:rowOff>
    </xdr:to>
    <xdr:sp macro="" textlink="">
      <xdr:nvSpPr>
        <xdr:cNvPr id="33" name="32 Elipse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1301750" y="4067175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541867</xdr:colOff>
      <xdr:row>20</xdr:row>
      <xdr:rowOff>102658</xdr:rowOff>
    </xdr:from>
    <xdr:to>
      <xdr:col>3</xdr:col>
      <xdr:colOff>198967</xdr:colOff>
      <xdr:row>22</xdr:row>
      <xdr:rowOff>121708</xdr:rowOff>
    </xdr:to>
    <xdr:sp macro="" textlink="">
      <xdr:nvSpPr>
        <xdr:cNvPr id="34" name="33 Elipse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2065867" y="4084108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730251</xdr:colOff>
      <xdr:row>20</xdr:row>
      <xdr:rowOff>125941</xdr:rowOff>
    </xdr:from>
    <xdr:to>
      <xdr:col>4</xdr:col>
      <xdr:colOff>207434</xdr:colOff>
      <xdr:row>22</xdr:row>
      <xdr:rowOff>144991</xdr:rowOff>
    </xdr:to>
    <xdr:sp macro="" textlink="">
      <xdr:nvSpPr>
        <xdr:cNvPr id="35" name="34 Elipse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3016251" y="4107391"/>
          <a:ext cx="420158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118534</xdr:colOff>
      <xdr:row>20</xdr:row>
      <xdr:rowOff>100541</xdr:rowOff>
    </xdr:from>
    <xdr:to>
      <xdr:col>5</xdr:col>
      <xdr:colOff>490009</xdr:colOff>
      <xdr:row>22</xdr:row>
      <xdr:rowOff>119591</xdr:rowOff>
    </xdr:to>
    <xdr:sp macro="" textlink="">
      <xdr:nvSpPr>
        <xdr:cNvPr id="36" name="35 Elipse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4109509" y="4081991"/>
          <a:ext cx="371475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9</xdr:col>
      <xdr:colOff>158751</xdr:colOff>
      <xdr:row>21</xdr:row>
      <xdr:rowOff>10584</xdr:rowOff>
    </xdr:from>
    <xdr:to>
      <xdr:col>9</xdr:col>
      <xdr:colOff>402168</xdr:colOff>
      <xdr:row>22</xdr:row>
      <xdr:rowOff>10584</xdr:rowOff>
    </xdr:to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6654801" y="4192059"/>
          <a:ext cx="243417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</a:t>
          </a:r>
        </a:p>
      </xdr:txBody>
    </xdr:sp>
    <xdr:clientData/>
  </xdr:twoCellAnchor>
  <xdr:twoCellAnchor>
    <xdr:from>
      <xdr:col>9</xdr:col>
      <xdr:colOff>169334</xdr:colOff>
      <xdr:row>15</xdr:row>
      <xdr:rowOff>127000</xdr:rowOff>
    </xdr:from>
    <xdr:to>
      <xdr:col>9</xdr:col>
      <xdr:colOff>412751</xdr:colOff>
      <xdr:row>16</xdr:row>
      <xdr:rowOff>127000</xdr:rowOff>
    </xdr:to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6665384" y="3108325"/>
          <a:ext cx="243417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</a:t>
          </a:r>
        </a:p>
      </xdr:txBody>
    </xdr:sp>
    <xdr:clientData/>
  </xdr:twoCellAnchor>
  <xdr:twoCellAnchor>
    <xdr:from>
      <xdr:col>9</xdr:col>
      <xdr:colOff>127001</xdr:colOff>
      <xdr:row>11</xdr:row>
      <xdr:rowOff>169333</xdr:rowOff>
    </xdr:from>
    <xdr:to>
      <xdr:col>9</xdr:col>
      <xdr:colOff>370418</xdr:colOff>
      <xdr:row>12</xdr:row>
      <xdr:rowOff>169333</xdr:rowOff>
    </xdr:to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6623051" y="2350558"/>
          <a:ext cx="243417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</a:t>
          </a:r>
        </a:p>
      </xdr:txBody>
    </xdr:sp>
    <xdr:clientData/>
  </xdr:twoCellAnchor>
  <xdr:twoCellAnchor>
    <xdr:from>
      <xdr:col>9</xdr:col>
      <xdr:colOff>158751</xdr:colOff>
      <xdr:row>8</xdr:row>
      <xdr:rowOff>84667</xdr:rowOff>
    </xdr:from>
    <xdr:to>
      <xdr:col>9</xdr:col>
      <xdr:colOff>402168</xdr:colOff>
      <xdr:row>9</xdr:row>
      <xdr:rowOff>84667</xdr:rowOff>
    </xdr:to>
    <xdr:sp macro="" textlink="">
      <xdr:nvSpPr>
        <xdr:cNvPr id="40" name="39 CuadroTexto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6654801" y="1665817"/>
          <a:ext cx="243417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</a:t>
          </a:r>
        </a:p>
      </xdr:txBody>
    </xdr:sp>
    <xdr:clientData/>
  </xdr:twoCellAnchor>
  <xdr:twoCellAnchor>
    <xdr:from>
      <xdr:col>9</xdr:col>
      <xdr:colOff>179918</xdr:colOff>
      <xdr:row>4</xdr:row>
      <xdr:rowOff>148167</xdr:rowOff>
    </xdr:from>
    <xdr:to>
      <xdr:col>9</xdr:col>
      <xdr:colOff>423335</xdr:colOff>
      <xdr:row>5</xdr:row>
      <xdr:rowOff>148167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6675968" y="929217"/>
          <a:ext cx="243417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5</a:t>
          </a:r>
        </a:p>
      </xdr:txBody>
    </xdr:sp>
    <xdr:clientData/>
  </xdr:twoCellAnchor>
  <xdr:twoCellAnchor>
    <xdr:from>
      <xdr:col>8</xdr:col>
      <xdr:colOff>190500</xdr:colOff>
      <xdr:row>21</xdr:row>
      <xdr:rowOff>21166</xdr:rowOff>
    </xdr:from>
    <xdr:to>
      <xdr:col>8</xdr:col>
      <xdr:colOff>433917</xdr:colOff>
      <xdr:row>22</xdr:row>
      <xdr:rowOff>21166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5924550" y="4202641"/>
          <a:ext cx="243417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6</a:t>
          </a:r>
        </a:p>
      </xdr:txBody>
    </xdr:sp>
    <xdr:clientData/>
  </xdr:twoCellAnchor>
  <xdr:twoCellAnchor>
    <xdr:from>
      <xdr:col>8</xdr:col>
      <xdr:colOff>190500</xdr:colOff>
      <xdr:row>15</xdr:row>
      <xdr:rowOff>126999</xdr:rowOff>
    </xdr:from>
    <xdr:to>
      <xdr:col>8</xdr:col>
      <xdr:colOff>433917</xdr:colOff>
      <xdr:row>16</xdr:row>
      <xdr:rowOff>126999</xdr:rowOff>
    </xdr:to>
    <xdr:sp macro="" textlink="">
      <xdr:nvSpPr>
        <xdr:cNvPr id="43" name="42 CuadroTexto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5924550" y="3108324"/>
          <a:ext cx="243417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7</a:t>
          </a:r>
        </a:p>
      </xdr:txBody>
    </xdr:sp>
    <xdr:clientData/>
  </xdr:twoCellAnchor>
  <xdr:twoCellAnchor>
    <xdr:from>
      <xdr:col>8</xdr:col>
      <xdr:colOff>148167</xdr:colOff>
      <xdr:row>11</xdr:row>
      <xdr:rowOff>169332</xdr:rowOff>
    </xdr:from>
    <xdr:to>
      <xdr:col>8</xdr:col>
      <xdr:colOff>391584</xdr:colOff>
      <xdr:row>12</xdr:row>
      <xdr:rowOff>169332</xdr:rowOff>
    </xdr:to>
    <xdr:sp macro="" textlink="">
      <xdr:nvSpPr>
        <xdr:cNvPr id="44" name="43 CuadroTexto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5882217" y="2350557"/>
          <a:ext cx="243417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8</a:t>
          </a:r>
        </a:p>
      </xdr:txBody>
    </xdr:sp>
    <xdr:clientData/>
  </xdr:twoCellAnchor>
  <xdr:twoCellAnchor>
    <xdr:from>
      <xdr:col>8</xdr:col>
      <xdr:colOff>179917</xdr:colOff>
      <xdr:row>8</xdr:row>
      <xdr:rowOff>84666</xdr:rowOff>
    </xdr:from>
    <xdr:to>
      <xdr:col>8</xdr:col>
      <xdr:colOff>423334</xdr:colOff>
      <xdr:row>9</xdr:row>
      <xdr:rowOff>84666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5913967" y="1665816"/>
          <a:ext cx="243417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9</a:t>
          </a:r>
        </a:p>
      </xdr:txBody>
    </xdr:sp>
    <xdr:clientData/>
  </xdr:twoCellAnchor>
  <xdr:twoCellAnchor>
    <xdr:from>
      <xdr:col>8</xdr:col>
      <xdr:colOff>148169</xdr:colOff>
      <xdr:row>4</xdr:row>
      <xdr:rowOff>148166</xdr:rowOff>
    </xdr:from>
    <xdr:to>
      <xdr:col>8</xdr:col>
      <xdr:colOff>476251</xdr:colOff>
      <xdr:row>5</xdr:row>
      <xdr:rowOff>158750</xdr:rowOff>
    </xdr:to>
    <xdr:sp macro="" textlink="">
      <xdr:nvSpPr>
        <xdr:cNvPr id="46" name="45 CuadroTexto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5882219" y="929216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10</a:t>
          </a:r>
        </a:p>
      </xdr:txBody>
    </xdr:sp>
    <xdr:clientData/>
  </xdr:twoCellAnchor>
  <xdr:twoCellAnchor>
    <xdr:from>
      <xdr:col>7</xdr:col>
      <xdr:colOff>127001</xdr:colOff>
      <xdr:row>4</xdr:row>
      <xdr:rowOff>158750</xdr:rowOff>
    </xdr:from>
    <xdr:to>
      <xdr:col>7</xdr:col>
      <xdr:colOff>455083</xdr:colOff>
      <xdr:row>5</xdr:row>
      <xdr:rowOff>169334</xdr:rowOff>
    </xdr:to>
    <xdr:sp macro="" textlink="">
      <xdr:nvSpPr>
        <xdr:cNvPr id="47" name="46 CuadroTexto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/>
      </xdr:nvSpPr>
      <xdr:spPr>
        <a:xfrm>
          <a:off x="5099051" y="939800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15</a:t>
          </a:r>
        </a:p>
      </xdr:txBody>
    </xdr:sp>
    <xdr:clientData/>
  </xdr:twoCellAnchor>
  <xdr:twoCellAnchor>
    <xdr:from>
      <xdr:col>7</xdr:col>
      <xdr:colOff>142875</xdr:colOff>
      <xdr:row>8</xdr:row>
      <xdr:rowOff>21167</xdr:rowOff>
    </xdr:from>
    <xdr:to>
      <xdr:col>7</xdr:col>
      <xdr:colOff>470957</xdr:colOff>
      <xdr:row>9</xdr:row>
      <xdr:rowOff>31751</xdr:rowOff>
    </xdr:to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5114925" y="1602317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14</a:t>
          </a:r>
        </a:p>
      </xdr:txBody>
    </xdr:sp>
    <xdr:clientData/>
  </xdr:twoCellAnchor>
  <xdr:twoCellAnchor>
    <xdr:from>
      <xdr:col>7</xdr:col>
      <xdr:colOff>137584</xdr:colOff>
      <xdr:row>11</xdr:row>
      <xdr:rowOff>137584</xdr:rowOff>
    </xdr:from>
    <xdr:to>
      <xdr:col>7</xdr:col>
      <xdr:colOff>465666</xdr:colOff>
      <xdr:row>12</xdr:row>
      <xdr:rowOff>148168</xdr:rowOff>
    </xdr:to>
    <xdr:sp macro="" textlink="">
      <xdr:nvSpPr>
        <xdr:cNvPr id="49" name="48 CuadroTexto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5109634" y="2318809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13</a:t>
          </a:r>
        </a:p>
      </xdr:txBody>
    </xdr:sp>
    <xdr:clientData/>
  </xdr:twoCellAnchor>
  <xdr:twoCellAnchor>
    <xdr:from>
      <xdr:col>7</xdr:col>
      <xdr:colOff>137583</xdr:colOff>
      <xdr:row>15</xdr:row>
      <xdr:rowOff>116418</xdr:rowOff>
    </xdr:from>
    <xdr:to>
      <xdr:col>7</xdr:col>
      <xdr:colOff>465665</xdr:colOff>
      <xdr:row>16</xdr:row>
      <xdr:rowOff>127002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5109633" y="3097743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12</a:t>
          </a:r>
        </a:p>
      </xdr:txBody>
    </xdr:sp>
    <xdr:clientData/>
  </xdr:twoCellAnchor>
  <xdr:twoCellAnchor>
    <xdr:from>
      <xdr:col>7</xdr:col>
      <xdr:colOff>179916</xdr:colOff>
      <xdr:row>21</xdr:row>
      <xdr:rowOff>31752</xdr:rowOff>
    </xdr:from>
    <xdr:to>
      <xdr:col>7</xdr:col>
      <xdr:colOff>507998</xdr:colOff>
      <xdr:row>22</xdr:row>
      <xdr:rowOff>42336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>
          <a:off x="5151966" y="4213227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11</a:t>
          </a:r>
        </a:p>
      </xdr:txBody>
    </xdr:sp>
    <xdr:clientData/>
  </xdr:twoCellAnchor>
  <xdr:twoCellAnchor>
    <xdr:from>
      <xdr:col>5</xdr:col>
      <xdr:colOff>160867</xdr:colOff>
      <xdr:row>21</xdr:row>
      <xdr:rowOff>5291</xdr:rowOff>
    </xdr:from>
    <xdr:to>
      <xdr:col>5</xdr:col>
      <xdr:colOff>488949</xdr:colOff>
      <xdr:row>22</xdr:row>
      <xdr:rowOff>15875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4151842" y="4186766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16</a:t>
          </a:r>
        </a:p>
      </xdr:txBody>
    </xdr:sp>
    <xdr:clientData/>
  </xdr:twoCellAnchor>
  <xdr:twoCellAnchor>
    <xdr:from>
      <xdr:col>3</xdr:col>
      <xdr:colOff>772584</xdr:colOff>
      <xdr:row>21</xdr:row>
      <xdr:rowOff>41274</xdr:rowOff>
    </xdr:from>
    <xdr:to>
      <xdr:col>4</xdr:col>
      <xdr:colOff>158749</xdr:colOff>
      <xdr:row>22</xdr:row>
      <xdr:rowOff>51858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3058584" y="4222749"/>
          <a:ext cx="329140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21</a:t>
          </a:r>
        </a:p>
      </xdr:txBody>
    </xdr:sp>
    <xdr:clientData/>
  </xdr:twoCellAnchor>
  <xdr:twoCellAnchor>
    <xdr:from>
      <xdr:col>2</xdr:col>
      <xdr:colOff>573617</xdr:colOff>
      <xdr:row>20</xdr:row>
      <xdr:rowOff>187325</xdr:rowOff>
    </xdr:from>
    <xdr:to>
      <xdr:col>3</xdr:col>
      <xdr:colOff>139699</xdr:colOff>
      <xdr:row>22</xdr:row>
      <xdr:rowOff>7409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2097617" y="4168775"/>
          <a:ext cx="328082" cy="220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26</a:t>
          </a:r>
        </a:p>
      </xdr:txBody>
    </xdr:sp>
    <xdr:clientData/>
  </xdr:twoCellAnchor>
  <xdr:twoCellAnchor>
    <xdr:from>
      <xdr:col>1</xdr:col>
      <xdr:colOff>592667</xdr:colOff>
      <xdr:row>20</xdr:row>
      <xdr:rowOff>159808</xdr:rowOff>
    </xdr:from>
    <xdr:to>
      <xdr:col>2</xdr:col>
      <xdr:colOff>158749</xdr:colOff>
      <xdr:row>21</xdr:row>
      <xdr:rowOff>170392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1354667" y="4141258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31</a:t>
          </a:r>
        </a:p>
      </xdr:txBody>
    </xdr:sp>
    <xdr:clientData/>
  </xdr:twoCellAnchor>
  <xdr:twoCellAnchor>
    <xdr:from>
      <xdr:col>5</xdr:col>
      <xdr:colOff>330199</xdr:colOff>
      <xdr:row>14</xdr:row>
      <xdr:rowOff>120651</xdr:rowOff>
    </xdr:from>
    <xdr:to>
      <xdr:col>5</xdr:col>
      <xdr:colOff>658281</xdr:colOff>
      <xdr:row>15</xdr:row>
      <xdr:rowOff>131235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4321174" y="2901951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17</a:t>
          </a:r>
        </a:p>
      </xdr:txBody>
    </xdr:sp>
    <xdr:clientData/>
  </xdr:twoCellAnchor>
  <xdr:twoCellAnchor>
    <xdr:from>
      <xdr:col>4</xdr:col>
      <xdr:colOff>518583</xdr:colOff>
      <xdr:row>14</xdr:row>
      <xdr:rowOff>114300</xdr:rowOff>
    </xdr:from>
    <xdr:to>
      <xdr:col>5</xdr:col>
      <xdr:colOff>84665</xdr:colOff>
      <xdr:row>15</xdr:row>
      <xdr:rowOff>124884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/>
      </xdr:nvSpPr>
      <xdr:spPr>
        <a:xfrm>
          <a:off x="3747558" y="2895600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22</a:t>
          </a:r>
        </a:p>
      </xdr:txBody>
    </xdr:sp>
    <xdr:clientData/>
  </xdr:twoCellAnchor>
  <xdr:twoCellAnchor>
    <xdr:from>
      <xdr:col>2</xdr:col>
      <xdr:colOff>118533</xdr:colOff>
      <xdr:row>14</xdr:row>
      <xdr:rowOff>186267</xdr:rowOff>
    </xdr:from>
    <xdr:to>
      <xdr:col>2</xdr:col>
      <xdr:colOff>446615</xdr:colOff>
      <xdr:row>16</xdr:row>
      <xdr:rowOff>6351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/>
      </xdr:nvSpPr>
      <xdr:spPr>
        <a:xfrm>
          <a:off x="1642533" y="2967567"/>
          <a:ext cx="328082" cy="220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27</a:t>
          </a:r>
        </a:p>
      </xdr:txBody>
    </xdr:sp>
    <xdr:clientData/>
  </xdr:twoCellAnchor>
  <xdr:twoCellAnchor>
    <xdr:from>
      <xdr:col>1</xdr:col>
      <xdr:colOff>317500</xdr:colOff>
      <xdr:row>14</xdr:row>
      <xdr:rowOff>169333</xdr:rowOff>
    </xdr:from>
    <xdr:to>
      <xdr:col>1</xdr:col>
      <xdr:colOff>645582</xdr:colOff>
      <xdr:row>15</xdr:row>
      <xdr:rowOff>179917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1079500" y="2950633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32</a:t>
          </a:r>
        </a:p>
      </xdr:txBody>
    </xdr:sp>
    <xdr:clientData/>
  </xdr:twoCellAnchor>
  <xdr:twoCellAnchor>
    <xdr:from>
      <xdr:col>5</xdr:col>
      <xdr:colOff>330199</xdr:colOff>
      <xdr:row>10</xdr:row>
      <xdr:rowOff>184151</xdr:rowOff>
    </xdr:from>
    <xdr:to>
      <xdr:col>5</xdr:col>
      <xdr:colOff>658281</xdr:colOff>
      <xdr:row>12</xdr:row>
      <xdr:rowOff>4235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/>
      </xdr:nvSpPr>
      <xdr:spPr>
        <a:xfrm>
          <a:off x="4321174" y="2165351"/>
          <a:ext cx="328082" cy="220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18</a:t>
          </a:r>
        </a:p>
      </xdr:txBody>
    </xdr:sp>
    <xdr:clientData/>
  </xdr:twoCellAnchor>
  <xdr:twoCellAnchor>
    <xdr:from>
      <xdr:col>4</xdr:col>
      <xdr:colOff>518583</xdr:colOff>
      <xdr:row>10</xdr:row>
      <xdr:rowOff>177800</xdr:rowOff>
    </xdr:from>
    <xdr:to>
      <xdr:col>5</xdr:col>
      <xdr:colOff>84665</xdr:colOff>
      <xdr:row>11</xdr:row>
      <xdr:rowOff>188384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/>
      </xdr:nvSpPr>
      <xdr:spPr>
        <a:xfrm>
          <a:off x="3747558" y="2159000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23</a:t>
          </a:r>
        </a:p>
      </xdr:txBody>
    </xdr:sp>
    <xdr:clientData/>
  </xdr:twoCellAnchor>
  <xdr:twoCellAnchor>
    <xdr:from>
      <xdr:col>2</xdr:col>
      <xdr:colOff>118533</xdr:colOff>
      <xdr:row>11</xdr:row>
      <xdr:rowOff>59267</xdr:rowOff>
    </xdr:from>
    <xdr:to>
      <xdr:col>2</xdr:col>
      <xdr:colOff>446615</xdr:colOff>
      <xdr:row>12</xdr:row>
      <xdr:rowOff>69851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1642533" y="2240492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28</a:t>
          </a:r>
        </a:p>
      </xdr:txBody>
    </xdr:sp>
    <xdr:clientData/>
  </xdr:twoCellAnchor>
  <xdr:twoCellAnchor>
    <xdr:from>
      <xdr:col>1</xdr:col>
      <xdr:colOff>317500</xdr:colOff>
      <xdr:row>11</xdr:row>
      <xdr:rowOff>42333</xdr:rowOff>
    </xdr:from>
    <xdr:to>
      <xdr:col>1</xdr:col>
      <xdr:colOff>645582</xdr:colOff>
      <xdr:row>12</xdr:row>
      <xdr:rowOff>52917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/>
      </xdr:nvSpPr>
      <xdr:spPr>
        <a:xfrm>
          <a:off x="1079500" y="2223558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33</a:t>
          </a:r>
        </a:p>
      </xdr:txBody>
    </xdr:sp>
    <xdr:clientData/>
  </xdr:twoCellAnchor>
  <xdr:twoCellAnchor>
    <xdr:from>
      <xdr:col>5</xdr:col>
      <xdr:colOff>340782</xdr:colOff>
      <xdr:row>7</xdr:row>
      <xdr:rowOff>78318</xdr:rowOff>
    </xdr:from>
    <xdr:to>
      <xdr:col>5</xdr:col>
      <xdr:colOff>668864</xdr:colOff>
      <xdr:row>8</xdr:row>
      <xdr:rowOff>88902</xdr:rowOff>
    </xdr:to>
    <xdr:sp macro="" textlink="">
      <xdr:nvSpPr>
        <xdr:cNvPr id="64" name="63 CuadroTexto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/>
      </xdr:nvSpPr>
      <xdr:spPr>
        <a:xfrm>
          <a:off x="4331757" y="1459443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19</a:t>
          </a:r>
        </a:p>
      </xdr:txBody>
    </xdr:sp>
    <xdr:clientData/>
  </xdr:twoCellAnchor>
  <xdr:twoCellAnchor>
    <xdr:from>
      <xdr:col>4</xdr:col>
      <xdr:colOff>529166</xdr:colOff>
      <xdr:row>7</xdr:row>
      <xdr:rowOff>71967</xdr:rowOff>
    </xdr:from>
    <xdr:to>
      <xdr:col>5</xdr:col>
      <xdr:colOff>95248</xdr:colOff>
      <xdr:row>8</xdr:row>
      <xdr:rowOff>82551</xdr:rowOff>
    </xdr:to>
    <xdr:sp macro="" textlink="">
      <xdr:nvSpPr>
        <xdr:cNvPr id="65" name="64 CuadroTexto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/>
      </xdr:nvSpPr>
      <xdr:spPr>
        <a:xfrm>
          <a:off x="3758141" y="1453092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24</a:t>
          </a:r>
        </a:p>
      </xdr:txBody>
    </xdr:sp>
    <xdr:clientData/>
  </xdr:twoCellAnchor>
  <xdr:twoCellAnchor>
    <xdr:from>
      <xdr:col>2</xdr:col>
      <xdr:colOff>129116</xdr:colOff>
      <xdr:row>7</xdr:row>
      <xdr:rowOff>143934</xdr:rowOff>
    </xdr:from>
    <xdr:to>
      <xdr:col>2</xdr:col>
      <xdr:colOff>457198</xdr:colOff>
      <xdr:row>8</xdr:row>
      <xdr:rowOff>154518</xdr:rowOff>
    </xdr:to>
    <xdr:sp macro="" textlink="">
      <xdr:nvSpPr>
        <xdr:cNvPr id="66" name="65 CuadroTexto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/>
      </xdr:nvSpPr>
      <xdr:spPr>
        <a:xfrm>
          <a:off x="1653116" y="1525059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29</a:t>
          </a:r>
        </a:p>
      </xdr:txBody>
    </xdr:sp>
    <xdr:clientData/>
  </xdr:twoCellAnchor>
  <xdr:twoCellAnchor>
    <xdr:from>
      <xdr:col>1</xdr:col>
      <xdr:colOff>328083</xdr:colOff>
      <xdr:row>7</xdr:row>
      <xdr:rowOff>127000</xdr:rowOff>
    </xdr:from>
    <xdr:to>
      <xdr:col>1</xdr:col>
      <xdr:colOff>656165</xdr:colOff>
      <xdr:row>8</xdr:row>
      <xdr:rowOff>137584</xdr:rowOff>
    </xdr:to>
    <xdr:sp macro="" textlink="">
      <xdr:nvSpPr>
        <xdr:cNvPr id="67" name="66 CuadroTexto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/>
      </xdr:nvSpPr>
      <xdr:spPr>
        <a:xfrm>
          <a:off x="1090083" y="1508125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34</a:t>
          </a:r>
        </a:p>
      </xdr:txBody>
    </xdr:sp>
    <xdr:clientData/>
  </xdr:twoCellAnchor>
  <xdr:twoCellAnchor>
    <xdr:from>
      <xdr:col>5</xdr:col>
      <xdr:colOff>351365</xdr:colOff>
      <xdr:row>3</xdr:row>
      <xdr:rowOff>162984</xdr:rowOff>
    </xdr:from>
    <xdr:to>
      <xdr:col>5</xdr:col>
      <xdr:colOff>679447</xdr:colOff>
      <xdr:row>4</xdr:row>
      <xdr:rowOff>173568</xdr:rowOff>
    </xdr:to>
    <xdr:sp macro="" textlink="">
      <xdr:nvSpPr>
        <xdr:cNvPr id="68" name="67 CuadroTexto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/>
      </xdr:nvSpPr>
      <xdr:spPr>
        <a:xfrm>
          <a:off x="4342340" y="744009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20</a:t>
          </a:r>
        </a:p>
      </xdr:txBody>
    </xdr:sp>
    <xdr:clientData/>
  </xdr:twoCellAnchor>
  <xdr:twoCellAnchor>
    <xdr:from>
      <xdr:col>4</xdr:col>
      <xdr:colOff>539749</xdr:colOff>
      <xdr:row>3</xdr:row>
      <xdr:rowOff>156633</xdr:rowOff>
    </xdr:from>
    <xdr:to>
      <xdr:col>5</xdr:col>
      <xdr:colOff>105831</xdr:colOff>
      <xdr:row>4</xdr:row>
      <xdr:rowOff>167217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/>
      </xdr:nvSpPr>
      <xdr:spPr>
        <a:xfrm>
          <a:off x="3768724" y="737658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25</a:t>
          </a:r>
        </a:p>
      </xdr:txBody>
    </xdr:sp>
    <xdr:clientData/>
  </xdr:twoCellAnchor>
  <xdr:twoCellAnchor>
    <xdr:from>
      <xdr:col>2</xdr:col>
      <xdr:colOff>139699</xdr:colOff>
      <xdr:row>4</xdr:row>
      <xdr:rowOff>38100</xdr:rowOff>
    </xdr:from>
    <xdr:to>
      <xdr:col>2</xdr:col>
      <xdr:colOff>467781</xdr:colOff>
      <xdr:row>5</xdr:row>
      <xdr:rowOff>48684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/>
      </xdr:nvSpPr>
      <xdr:spPr>
        <a:xfrm>
          <a:off x="1663699" y="819150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30</a:t>
          </a:r>
        </a:p>
      </xdr:txBody>
    </xdr:sp>
    <xdr:clientData/>
  </xdr:twoCellAnchor>
  <xdr:twoCellAnchor>
    <xdr:from>
      <xdr:col>1</xdr:col>
      <xdr:colOff>338666</xdr:colOff>
      <xdr:row>4</xdr:row>
      <xdr:rowOff>21166</xdr:rowOff>
    </xdr:from>
    <xdr:to>
      <xdr:col>1</xdr:col>
      <xdr:colOff>666748</xdr:colOff>
      <xdr:row>5</xdr:row>
      <xdr:rowOff>31750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/>
      </xdr:nvSpPr>
      <xdr:spPr>
        <a:xfrm>
          <a:off x="1100666" y="802216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35</a:t>
          </a:r>
        </a:p>
      </xdr:txBody>
    </xdr:sp>
    <xdr:clientData/>
  </xdr:twoCellAnchor>
  <xdr:twoCellAnchor>
    <xdr:from>
      <xdr:col>4</xdr:col>
      <xdr:colOff>231775</xdr:colOff>
      <xdr:row>24</xdr:row>
      <xdr:rowOff>105834</xdr:rowOff>
    </xdr:from>
    <xdr:to>
      <xdr:col>4</xdr:col>
      <xdr:colOff>650875</xdr:colOff>
      <xdr:row>26</xdr:row>
      <xdr:rowOff>124884</xdr:rowOff>
    </xdr:to>
    <xdr:sp macro="" textlink="">
      <xdr:nvSpPr>
        <xdr:cNvPr id="72" name="71 Elipse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/>
      </xdr:nvSpPr>
      <xdr:spPr>
        <a:xfrm>
          <a:off x="3460750" y="4887384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43391</xdr:colOff>
      <xdr:row>24</xdr:row>
      <xdr:rowOff>122768</xdr:rowOff>
    </xdr:from>
    <xdr:to>
      <xdr:col>5</xdr:col>
      <xdr:colOff>462491</xdr:colOff>
      <xdr:row>26</xdr:row>
      <xdr:rowOff>141818</xdr:rowOff>
    </xdr:to>
    <xdr:sp macro="" textlink="">
      <xdr:nvSpPr>
        <xdr:cNvPr id="73" name="72 Elipse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/>
      </xdr:nvSpPr>
      <xdr:spPr>
        <a:xfrm>
          <a:off x="4034366" y="4904318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231775</xdr:colOff>
      <xdr:row>28</xdr:row>
      <xdr:rowOff>10584</xdr:rowOff>
    </xdr:from>
    <xdr:to>
      <xdr:col>4</xdr:col>
      <xdr:colOff>650875</xdr:colOff>
      <xdr:row>30</xdr:row>
      <xdr:rowOff>19051</xdr:rowOff>
    </xdr:to>
    <xdr:sp macro="" textlink="">
      <xdr:nvSpPr>
        <xdr:cNvPr id="74" name="73 Elipse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/>
      </xdr:nvSpPr>
      <xdr:spPr>
        <a:xfrm>
          <a:off x="3460750" y="5592234"/>
          <a:ext cx="419100" cy="40851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43391</xdr:colOff>
      <xdr:row>28</xdr:row>
      <xdr:rowOff>27518</xdr:rowOff>
    </xdr:from>
    <xdr:to>
      <xdr:col>5</xdr:col>
      <xdr:colOff>462491</xdr:colOff>
      <xdr:row>30</xdr:row>
      <xdr:rowOff>35985</xdr:rowOff>
    </xdr:to>
    <xdr:sp macro="" textlink="">
      <xdr:nvSpPr>
        <xdr:cNvPr id="75" name="74 Elipse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>
        <a:xfrm>
          <a:off x="4034366" y="5609168"/>
          <a:ext cx="419100" cy="40851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222250</xdr:colOff>
      <xdr:row>31</xdr:row>
      <xdr:rowOff>133351</xdr:rowOff>
    </xdr:from>
    <xdr:to>
      <xdr:col>4</xdr:col>
      <xdr:colOff>641350</xdr:colOff>
      <xdr:row>33</xdr:row>
      <xdr:rowOff>141817</xdr:rowOff>
    </xdr:to>
    <xdr:sp macro="" textlink="">
      <xdr:nvSpPr>
        <xdr:cNvPr id="76" name="75 Elipse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>
          <a:off x="3451225" y="6315076"/>
          <a:ext cx="419100" cy="40851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33866</xdr:colOff>
      <xdr:row>31</xdr:row>
      <xdr:rowOff>150285</xdr:rowOff>
    </xdr:from>
    <xdr:to>
      <xdr:col>5</xdr:col>
      <xdr:colOff>452966</xdr:colOff>
      <xdr:row>33</xdr:row>
      <xdr:rowOff>158751</xdr:rowOff>
    </xdr:to>
    <xdr:sp macro="" textlink="">
      <xdr:nvSpPr>
        <xdr:cNvPr id="77" name="76 Elipse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/>
      </xdr:nvSpPr>
      <xdr:spPr>
        <a:xfrm>
          <a:off x="4024841" y="6332010"/>
          <a:ext cx="419100" cy="40851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85724</xdr:colOff>
      <xdr:row>32</xdr:row>
      <xdr:rowOff>53977</xdr:rowOff>
    </xdr:from>
    <xdr:to>
      <xdr:col>5</xdr:col>
      <xdr:colOff>413806</xdr:colOff>
      <xdr:row>33</xdr:row>
      <xdr:rowOff>53977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/>
      </xdr:nvSpPr>
      <xdr:spPr>
        <a:xfrm>
          <a:off x="4076699" y="6435727"/>
          <a:ext cx="328082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41</a:t>
          </a:r>
        </a:p>
      </xdr:txBody>
    </xdr:sp>
    <xdr:clientData/>
  </xdr:twoCellAnchor>
  <xdr:twoCellAnchor>
    <xdr:from>
      <xdr:col>4</xdr:col>
      <xdr:colOff>274108</xdr:colOff>
      <xdr:row>32</xdr:row>
      <xdr:rowOff>47626</xdr:rowOff>
    </xdr:from>
    <xdr:to>
      <xdr:col>4</xdr:col>
      <xdr:colOff>602190</xdr:colOff>
      <xdr:row>33</xdr:row>
      <xdr:rowOff>47626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/>
      </xdr:nvSpPr>
      <xdr:spPr>
        <a:xfrm>
          <a:off x="3503083" y="6429376"/>
          <a:ext cx="328082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38</a:t>
          </a:r>
        </a:p>
      </xdr:txBody>
    </xdr:sp>
    <xdr:clientData/>
  </xdr:twoCellAnchor>
  <xdr:twoCellAnchor>
    <xdr:from>
      <xdr:col>5</xdr:col>
      <xdr:colOff>85724</xdr:colOff>
      <xdr:row>28</xdr:row>
      <xdr:rowOff>128060</xdr:rowOff>
    </xdr:from>
    <xdr:to>
      <xdr:col>5</xdr:col>
      <xdr:colOff>413806</xdr:colOff>
      <xdr:row>29</xdr:row>
      <xdr:rowOff>128061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/>
      </xdr:nvSpPr>
      <xdr:spPr>
        <a:xfrm>
          <a:off x="4076699" y="5709710"/>
          <a:ext cx="328082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40</a:t>
          </a:r>
        </a:p>
      </xdr:txBody>
    </xdr:sp>
    <xdr:clientData/>
  </xdr:twoCellAnchor>
  <xdr:twoCellAnchor>
    <xdr:from>
      <xdr:col>4</xdr:col>
      <xdr:colOff>274108</xdr:colOff>
      <xdr:row>28</xdr:row>
      <xdr:rowOff>121709</xdr:rowOff>
    </xdr:from>
    <xdr:to>
      <xdr:col>4</xdr:col>
      <xdr:colOff>602190</xdr:colOff>
      <xdr:row>29</xdr:row>
      <xdr:rowOff>121710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/>
      </xdr:nvSpPr>
      <xdr:spPr>
        <a:xfrm>
          <a:off x="3503083" y="5703359"/>
          <a:ext cx="328082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37</a:t>
          </a:r>
        </a:p>
      </xdr:txBody>
    </xdr:sp>
    <xdr:clientData/>
  </xdr:twoCellAnchor>
  <xdr:twoCellAnchor>
    <xdr:from>
      <xdr:col>5</xdr:col>
      <xdr:colOff>96307</xdr:colOff>
      <xdr:row>25</xdr:row>
      <xdr:rowOff>22227</xdr:rowOff>
    </xdr:from>
    <xdr:to>
      <xdr:col>5</xdr:col>
      <xdr:colOff>424389</xdr:colOff>
      <xdr:row>26</xdr:row>
      <xdr:rowOff>32811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/>
      </xdr:nvSpPr>
      <xdr:spPr>
        <a:xfrm>
          <a:off x="4087282" y="5003802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39</a:t>
          </a:r>
        </a:p>
      </xdr:txBody>
    </xdr:sp>
    <xdr:clientData/>
  </xdr:twoCellAnchor>
  <xdr:twoCellAnchor>
    <xdr:from>
      <xdr:col>4</xdr:col>
      <xdr:colOff>284691</xdr:colOff>
      <xdr:row>25</xdr:row>
      <xdr:rowOff>15876</xdr:rowOff>
    </xdr:from>
    <xdr:to>
      <xdr:col>4</xdr:col>
      <xdr:colOff>612773</xdr:colOff>
      <xdr:row>26</xdr:row>
      <xdr:rowOff>26460</xdr:rowOff>
    </xdr:to>
    <xdr:sp macro="" textlink="">
      <xdr:nvSpPr>
        <xdr:cNvPr id="83" name="82 CuadroTexto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/>
      </xdr:nvSpPr>
      <xdr:spPr>
        <a:xfrm>
          <a:off x="3513666" y="4997451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36</a:t>
          </a:r>
        </a:p>
      </xdr:txBody>
    </xdr:sp>
    <xdr:clientData/>
  </xdr:twoCellAnchor>
  <xdr:twoCellAnchor>
    <xdr:from>
      <xdr:col>1</xdr:col>
      <xdr:colOff>136525</xdr:colOff>
      <xdr:row>24</xdr:row>
      <xdr:rowOff>74083</xdr:rowOff>
    </xdr:from>
    <xdr:to>
      <xdr:col>1</xdr:col>
      <xdr:colOff>555625</xdr:colOff>
      <xdr:row>26</xdr:row>
      <xdr:rowOff>93133</xdr:rowOff>
    </xdr:to>
    <xdr:sp macro="" textlink="">
      <xdr:nvSpPr>
        <xdr:cNvPr id="84" name="83 Elipse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/>
      </xdr:nvSpPr>
      <xdr:spPr>
        <a:xfrm>
          <a:off x="898525" y="4855633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147109</xdr:colOff>
      <xdr:row>26</xdr:row>
      <xdr:rowOff>169333</xdr:rowOff>
    </xdr:from>
    <xdr:to>
      <xdr:col>1</xdr:col>
      <xdr:colOff>566209</xdr:colOff>
      <xdr:row>28</xdr:row>
      <xdr:rowOff>188383</xdr:rowOff>
    </xdr:to>
    <xdr:sp macro="" textlink="">
      <xdr:nvSpPr>
        <xdr:cNvPr id="85" name="84 Elipse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/>
      </xdr:nvSpPr>
      <xdr:spPr>
        <a:xfrm>
          <a:off x="909109" y="5350933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127000</xdr:colOff>
      <xdr:row>31</xdr:row>
      <xdr:rowOff>101600</xdr:rowOff>
    </xdr:from>
    <xdr:to>
      <xdr:col>1</xdr:col>
      <xdr:colOff>546100</xdr:colOff>
      <xdr:row>33</xdr:row>
      <xdr:rowOff>110066</xdr:rowOff>
    </xdr:to>
    <xdr:sp macro="" textlink="">
      <xdr:nvSpPr>
        <xdr:cNvPr id="86" name="85 Elipse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/>
      </xdr:nvSpPr>
      <xdr:spPr>
        <a:xfrm>
          <a:off x="889000" y="6283325"/>
          <a:ext cx="419100" cy="40851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178858</xdr:colOff>
      <xdr:row>32</xdr:row>
      <xdr:rowOff>15875</xdr:rowOff>
    </xdr:from>
    <xdr:to>
      <xdr:col>1</xdr:col>
      <xdr:colOff>506940</xdr:colOff>
      <xdr:row>33</xdr:row>
      <xdr:rowOff>15875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/>
      </xdr:nvSpPr>
      <xdr:spPr>
        <a:xfrm>
          <a:off x="940858" y="6397625"/>
          <a:ext cx="328082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47</a:t>
          </a:r>
        </a:p>
      </xdr:txBody>
    </xdr:sp>
    <xdr:clientData/>
  </xdr:twoCellAnchor>
  <xdr:twoCellAnchor>
    <xdr:from>
      <xdr:col>1</xdr:col>
      <xdr:colOff>189442</xdr:colOff>
      <xdr:row>27</xdr:row>
      <xdr:rowOff>89958</xdr:rowOff>
    </xdr:from>
    <xdr:to>
      <xdr:col>1</xdr:col>
      <xdr:colOff>517524</xdr:colOff>
      <xdr:row>28</xdr:row>
      <xdr:rowOff>100542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951442" y="5471583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43</a:t>
          </a:r>
        </a:p>
      </xdr:txBody>
    </xdr:sp>
    <xdr:clientData/>
  </xdr:twoCellAnchor>
  <xdr:twoCellAnchor>
    <xdr:from>
      <xdr:col>1</xdr:col>
      <xdr:colOff>189441</xdr:colOff>
      <xdr:row>24</xdr:row>
      <xdr:rowOff>174625</xdr:rowOff>
    </xdr:from>
    <xdr:to>
      <xdr:col>1</xdr:col>
      <xdr:colOff>517523</xdr:colOff>
      <xdr:row>25</xdr:row>
      <xdr:rowOff>185209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951441" y="4956175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42</a:t>
          </a:r>
        </a:p>
      </xdr:txBody>
    </xdr:sp>
    <xdr:clientData/>
  </xdr:twoCellAnchor>
  <xdr:twoCellAnchor>
    <xdr:from>
      <xdr:col>2</xdr:col>
      <xdr:colOff>625475</xdr:colOff>
      <xdr:row>24</xdr:row>
      <xdr:rowOff>112184</xdr:rowOff>
    </xdr:from>
    <xdr:to>
      <xdr:col>3</xdr:col>
      <xdr:colOff>282575</xdr:colOff>
      <xdr:row>26</xdr:row>
      <xdr:rowOff>131234</xdr:rowOff>
    </xdr:to>
    <xdr:sp macro="" textlink="">
      <xdr:nvSpPr>
        <xdr:cNvPr id="90" name="89 Elipse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/>
      </xdr:nvSpPr>
      <xdr:spPr>
        <a:xfrm>
          <a:off x="2149475" y="4893734"/>
          <a:ext cx="419100" cy="419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625475</xdr:colOff>
      <xdr:row>28</xdr:row>
      <xdr:rowOff>16934</xdr:rowOff>
    </xdr:from>
    <xdr:to>
      <xdr:col>3</xdr:col>
      <xdr:colOff>282575</xdr:colOff>
      <xdr:row>30</xdr:row>
      <xdr:rowOff>25401</xdr:rowOff>
    </xdr:to>
    <xdr:sp macro="" textlink="">
      <xdr:nvSpPr>
        <xdr:cNvPr id="91" name="90 Elipse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2149475" y="5598584"/>
          <a:ext cx="419100" cy="40851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615950</xdr:colOff>
      <xdr:row>31</xdr:row>
      <xdr:rowOff>139701</xdr:rowOff>
    </xdr:from>
    <xdr:to>
      <xdr:col>3</xdr:col>
      <xdr:colOff>273050</xdr:colOff>
      <xdr:row>33</xdr:row>
      <xdr:rowOff>148167</xdr:rowOff>
    </xdr:to>
    <xdr:sp macro="" textlink="">
      <xdr:nvSpPr>
        <xdr:cNvPr id="92" name="91 Elipse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2139950" y="6321426"/>
          <a:ext cx="419100" cy="40851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667808</xdr:colOff>
      <xdr:row>32</xdr:row>
      <xdr:rowOff>43393</xdr:rowOff>
    </xdr:from>
    <xdr:to>
      <xdr:col>3</xdr:col>
      <xdr:colOff>233890</xdr:colOff>
      <xdr:row>33</xdr:row>
      <xdr:rowOff>43393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 txBox="1"/>
      </xdr:nvSpPr>
      <xdr:spPr>
        <a:xfrm>
          <a:off x="2191808" y="6425143"/>
          <a:ext cx="328082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46</a:t>
          </a:r>
        </a:p>
      </xdr:txBody>
    </xdr:sp>
    <xdr:clientData/>
  </xdr:twoCellAnchor>
  <xdr:twoCellAnchor>
    <xdr:from>
      <xdr:col>2</xdr:col>
      <xdr:colOff>667808</xdr:colOff>
      <xdr:row>28</xdr:row>
      <xdr:rowOff>117476</xdr:rowOff>
    </xdr:from>
    <xdr:to>
      <xdr:col>3</xdr:col>
      <xdr:colOff>233890</xdr:colOff>
      <xdr:row>29</xdr:row>
      <xdr:rowOff>117477</xdr:rowOff>
    </xdr:to>
    <xdr:sp macro="" textlink="">
      <xdr:nvSpPr>
        <xdr:cNvPr id="94" name="93 CuadroTexto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 txBox="1"/>
      </xdr:nvSpPr>
      <xdr:spPr>
        <a:xfrm>
          <a:off x="2191808" y="5699126"/>
          <a:ext cx="328082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45</a:t>
          </a:r>
        </a:p>
      </xdr:txBody>
    </xdr:sp>
    <xdr:clientData/>
  </xdr:twoCellAnchor>
  <xdr:twoCellAnchor>
    <xdr:from>
      <xdr:col>2</xdr:col>
      <xdr:colOff>678391</xdr:colOff>
      <xdr:row>25</xdr:row>
      <xdr:rowOff>11643</xdr:rowOff>
    </xdr:from>
    <xdr:to>
      <xdr:col>3</xdr:col>
      <xdr:colOff>244473</xdr:colOff>
      <xdr:row>26</xdr:row>
      <xdr:rowOff>22227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 txBox="1"/>
      </xdr:nvSpPr>
      <xdr:spPr>
        <a:xfrm>
          <a:off x="2202391" y="4993218"/>
          <a:ext cx="328082" cy="21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44</a:t>
          </a:r>
        </a:p>
      </xdr:txBody>
    </xdr:sp>
    <xdr:clientData/>
  </xdr:twoCellAnchor>
  <xdr:twoCellAnchor editAs="oneCell">
    <xdr:from>
      <xdr:col>1</xdr:col>
      <xdr:colOff>285750</xdr:colOff>
      <xdr:row>0</xdr:row>
      <xdr:rowOff>95250</xdr:rowOff>
    </xdr:from>
    <xdr:to>
      <xdr:col>1</xdr:col>
      <xdr:colOff>714375</xdr:colOff>
      <xdr:row>3</xdr:row>
      <xdr:rowOff>145883</xdr:rowOff>
    </xdr:to>
    <xdr:pic>
      <xdr:nvPicPr>
        <xdr:cNvPr id="96" name="95 Imagen" descr="VOLVER MAESTRO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8625" y="95250"/>
          <a:ext cx="428625" cy="631658"/>
        </a:xfrm>
        <a:prstGeom prst="rect">
          <a:avLst/>
        </a:prstGeom>
      </xdr:spPr>
    </xdr:pic>
    <xdr:clientData/>
  </xdr:twoCellAnchor>
  <xdr:twoCellAnchor>
    <xdr:from>
      <xdr:col>7</xdr:col>
      <xdr:colOff>211666</xdr:colOff>
      <xdr:row>30</xdr:row>
      <xdr:rowOff>179917</xdr:rowOff>
    </xdr:from>
    <xdr:to>
      <xdr:col>7</xdr:col>
      <xdr:colOff>630766</xdr:colOff>
      <xdr:row>32</xdr:row>
      <xdr:rowOff>198966</xdr:rowOff>
    </xdr:to>
    <xdr:sp macro="" textlink="">
      <xdr:nvSpPr>
        <xdr:cNvPr id="97" name="96 Elipse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5183716" y="6161617"/>
          <a:ext cx="419100" cy="419099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8</xdr:col>
      <xdr:colOff>550333</xdr:colOff>
      <xdr:row>31</xdr:row>
      <xdr:rowOff>0</xdr:rowOff>
    </xdr:from>
    <xdr:to>
      <xdr:col>9</xdr:col>
      <xdr:colOff>207433</xdr:colOff>
      <xdr:row>33</xdr:row>
      <xdr:rowOff>8466</xdr:rowOff>
    </xdr:to>
    <xdr:sp macro="" textlink="">
      <xdr:nvSpPr>
        <xdr:cNvPr id="98" name="97 Elipse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6284383" y="6181725"/>
          <a:ext cx="419100" cy="40851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64557</xdr:colOff>
      <xdr:row>32</xdr:row>
      <xdr:rowOff>53977</xdr:rowOff>
    </xdr:from>
    <xdr:to>
      <xdr:col>5</xdr:col>
      <xdr:colOff>392639</xdr:colOff>
      <xdr:row>33</xdr:row>
      <xdr:rowOff>53977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 txBox="1"/>
      </xdr:nvSpPr>
      <xdr:spPr>
        <a:xfrm>
          <a:off x="4055532" y="6435727"/>
          <a:ext cx="328082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41</a:t>
          </a:r>
        </a:p>
      </xdr:txBody>
    </xdr:sp>
    <xdr:clientData/>
  </xdr:twoCellAnchor>
  <xdr:twoCellAnchor>
    <xdr:from>
      <xdr:col>8</xdr:col>
      <xdr:colOff>613833</xdr:colOff>
      <xdr:row>31</xdr:row>
      <xdr:rowOff>105834</xdr:rowOff>
    </xdr:from>
    <xdr:to>
      <xdr:col>9</xdr:col>
      <xdr:colOff>179915</xdr:colOff>
      <xdr:row>32</xdr:row>
      <xdr:rowOff>116417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 txBox="1"/>
      </xdr:nvSpPr>
      <xdr:spPr>
        <a:xfrm>
          <a:off x="6347883" y="6287559"/>
          <a:ext cx="328082" cy="2106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49</a:t>
          </a:r>
        </a:p>
      </xdr:txBody>
    </xdr:sp>
    <xdr:clientData/>
  </xdr:twoCellAnchor>
  <xdr:twoCellAnchor>
    <xdr:from>
      <xdr:col>7</xdr:col>
      <xdr:colOff>264584</xdr:colOff>
      <xdr:row>31</xdr:row>
      <xdr:rowOff>63500</xdr:rowOff>
    </xdr:from>
    <xdr:to>
      <xdr:col>7</xdr:col>
      <xdr:colOff>592666</xdr:colOff>
      <xdr:row>32</xdr:row>
      <xdr:rowOff>74083</xdr:rowOff>
    </xdr:to>
    <xdr:sp macro="" textlink="">
      <xdr:nvSpPr>
        <xdr:cNvPr id="101" name="100 CuadroTexto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/>
      </xdr:nvSpPr>
      <xdr:spPr>
        <a:xfrm>
          <a:off x="5236634" y="6245225"/>
          <a:ext cx="328082" cy="2106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48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66675</xdr:rowOff>
    </xdr:from>
    <xdr:to>
      <xdr:col>2</xdr:col>
      <xdr:colOff>200025</xdr:colOff>
      <xdr:row>9</xdr:row>
      <xdr:rowOff>66675</xdr:rowOff>
    </xdr:to>
    <xdr:sp macro="" textlink="">
      <xdr:nvSpPr>
        <xdr:cNvPr id="35" name="34 Elipse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800100" y="828675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4</a:t>
          </a:r>
        </a:p>
      </xdr:txBody>
    </xdr:sp>
    <xdr:clientData/>
  </xdr:twoCellAnchor>
  <xdr:twoCellAnchor>
    <xdr:from>
      <xdr:col>2</xdr:col>
      <xdr:colOff>514350</xdr:colOff>
      <xdr:row>4</xdr:row>
      <xdr:rowOff>76200</xdr:rowOff>
    </xdr:from>
    <xdr:to>
      <xdr:col>3</xdr:col>
      <xdr:colOff>676275</xdr:colOff>
      <xdr:row>9</xdr:row>
      <xdr:rowOff>76200</xdr:rowOff>
    </xdr:to>
    <xdr:sp macro="" textlink="">
      <xdr:nvSpPr>
        <xdr:cNvPr id="36" name="35 Elipse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2038350" y="838200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3</a:t>
          </a:r>
        </a:p>
      </xdr:txBody>
    </xdr:sp>
    <xdr:clientData/>
  </xdr:twoCellAnchor>
  <xdr:twoCellAnchor>
    <xdr:from>
      <xdr:col>4</xdr:col>
      <xdr:colOff>152400</xdr:colOff>
      <xdr:row>4</xdr:row>
      <xdr:rowOff>85725</xdr:rowOff>
    </xdr:from>
    <xdr:to>
      <xdr:col>5</xdr:col>
      <xdr:colOff>314325</xdr:colOff>
      <xdr:row>9</xdr:row>
      <xdr:rowOff>85725</xdr:rowOff>
    </xdr:to>
    <xdr:sp macro="" textlink="">
      <xdr:nvSpPr>
        <xdr:cNvPr id="37" name="36 Elipse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3200400" y="847725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2</a:t>
          </a:r>
        </a:p>
      </xdr:txBody>
    </xdr:sp>
    <xdr:clientData/>
  </xdr:twoCellAnchor>
  <xdr:twoCellAnchor>
    <xdr:from>
      <xdr:col>5</xdr:col>
      <xdr:colOff>590550</xdr:colOff>
      <xdr:row>4</xdr:row>
      <xdr:rowOff>95250</xdr:rowOff>
    </xdr:from>
    <xdr:to>
      <xdr:col>6</xdr:col>
      <xdr:colOff>752475</xdr:colOff>
      <xdr:row>9</xdr:row>
      <xdr:rowOff>95250</xdr:rowOff>
    </xdr:to>
    <xdr:sp macro="" textlink="">
      <xdr:nvSpPr>
        <xdr:cNvPr id="38" name="37 Elipse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4400550" y="857250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</a:t>
          </a:r>
        </a:p>
      </xdr:txBody>
    </xdr:sp>
    <xdr:clientData/>
  </xdr:twoCellAnchor>
  <xdr:twoCellAnchor>
    <xdr:from>
      <xdr:col>1</xdr:col>
      <xdr:colOff>19050</xdr:colOff>
      <xdr:row>10</xdr:row>
      <xdr:rowOff>104775</xdr:rowOff>
    </xdr:from>
    <xdr:to>
      <xdr:col>2</xdr:col>
      <xdr:colOff>180975</xdr:colOff>
      <xdr:row>15</xdr:row>
      <xdr:rowOff>104775</xdr:rowOff>
    </xdr:to>
    <xdr:sp macro="" textlink="">
      <xdr:nvSpPr>
        <xdr:cNvPr id="39" name="38 Elipse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781050" y="2019300"/>
          <a:ext cx="923925" cy="9810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5</a:t>
          </a:r>
        </a:p>
      </xdr:txBody>
    </xdr:sp>
    <xdr:clientData/>
  </xdr:twoCellAnchor>
  <xdr:twoCellAnchor>
    <xdr:from>
      <xdr:col>2</xdr:col>
      <xdr:colOff>495300</xdr:colOff>
      <xdr:row>10</xdr:row>
      <xdr:rowOff>142875</xdr:rowOff>
    </xdr:from>
    <xdr:to>
      <xdr:col>3</xdr:col>
      <xdr:colOff>657225</xdr:colOff>
      <xdr:row>15</xdr:row>
      <xdr:rowOff>142875</xdr:rowOff>
    </xdr:to>
    <xdr:sp macro="" textlink="">
      <xdr:nvSpPr>
        <xdr:cNvPr id="40" name="39 Elipse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2019300" y="2057400"/>
          <a:ext cx="923925" cy="9810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6</a:t>
          </a:r>
        </a:p>
      </xdr:txBody>
    </xdr:sp>
    <xdr:clientData/>
  </xdr:twoCellAnchor>
  <xdr:twoCellAnchor>
    <xdr:from>
      <xdr:col>4</xdr:col>
      <xdr:colOff>161925</xdr:colOff>
      <xdr:row>11</xdr:row>
      <xdr:rowOff>19050</xdr:rowOff>
    </xdr:from>
    <xdr:to>
      <xdr:col>5</xdr:col>
      <xdr:colOff>323850</xdr:colOff>
      <xdr:row>16</xdr:row>
      <xdr:rowOff>19050</xdr:rowOff>
    </xdr:to>
    <xdr:sp macro="" textlink="">
      <xdr:nvSpPr>
        <xdr:cNvPr id="41" name="40 Elipse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3209925" y="2133600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7</a:t>
          </a:r>
        </a:p>
      </xdr:txBody>
    </xdr:sp>
    <xdr:clientData/>
  </xdr:twoCellAnchor>
  <xdr:twoCellAnchor>
    <xdr:from>
      <xdr:col>5</xdr:col>
      <xdr:colOff>600075</xdr:colOff>
      <xdr:row>11</xdr:row>
      <xdr:rowOff>28575</xdr:rowOff>
    </xdr:from>
    <xdr:to>
      <xdr:col>7</xdr:col>
      <xdr:colOff>0</xdr:colOff>
      <xdr:row>16</xdr:row>
      <xdr:rowOff>28575</xdr:rowOff>
    </xdr:to>
    <xdr:sp macro="" textlink="">
      <xdr:nvSpPr>
        <xdr:cNvPr id="42" name="41 Elipse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4410075" y="2143125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8</a:t>
          </a:r>
        </a:p>
      </xdr:txBody>
    </xdr:sp>
    <xdr:clientData/>
  </xdr:twoCellAnchor>
  <xdr:twoCellAnchor>
    <xdr:from>
      <xdr:col>1</xdr:col>
      <xdr:colOff>19050</xdr:colOff>
      <xdr:row>16</xdr:row>
      <xdr:rowOff>76200</xdr:rowOff>
    </xdr:from>
    <xdr:to>
      <xdr:col>2</xdr:col>
      <xdr:colOff>180975</xdr:colOff>
      <xdr:row>21</xdr:row>
      <xdr:rowOff>76200</xdr:rowOff>
    </xdr:to>
    <xdr:sp macro="" textlink="">
      <xdr:nvSpPr>
        <xdr:cNvPr id="43" name="42 Elipse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781050" y="3162300"/>
          <a:ext cx="923925" cy="9810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12</a:t>
          </a:r>
        </a:p>
      </xdr:txBody>
    </xdr:sp>
    <xdr:clientData/>
  </xdr:twoCellAnchor>
  <xdr:twoCellAnchor>
    <xdr:from>
      <xdr:col>2</xdr:col>
      <xdr:colOff>438150</xdr:colOff>
      <xdr:row>16</xdr:row>
      <xdr:rowOff>142875</xdr:rowOff>
    </xdr:from>
    <xdr:to>
      <xdr:col>3</xdr:col>
      <xdr:colOff>600075</xdr:colOff>
      <xdr:row>21</xdr:row>
      <xdr:rowOff>142875</xdr:rowOff>
    </xdr:to>
    <xdr:sp macro="" textlink="">
      <xdr:nvSpPr>
        <xdr:cNvPr id="44" name="43 Elipse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1962150" y="3228975"/>
          <a:ext cx="923925" cy="9810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11</a:t>
          </a:r>
        </a:p>
      </xdr:txBody>
    </xdr:sp>
    <xdr:clientData/>
  </xdr:twoCellAnchor>
  <xdr:twoCellAnchor>
    <xdr:from>
      <xdr:col>4</xdr:col>
      <xdr:colOff>76200</xdr:colOff>
      <xdr:row>17</xdr:row>
      <xdr:rowOff>19050</xdr:rowOff>
    </xdr:from>
    <xdr:to>
      <xdr:col>5</xdr:col>
      <xdr:colOff>238125</xdr:colOff>
      <xdr:row>22</xdr:row>
      <xdr:rowOff>19050</xdr:rowOff>
    </xdr:to>
    <xdr:sp macro="" textlink="">
      <xdr:nvSpPr>
        <xdr:cNvPr id="45" name="44 Elipse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3124200" y="3305175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10</a:t>
          </a:r>
        </a:p>
      </xdr:txBody>
    </xdr:sp>
    <xdr:clientData/>
  </xdr:twoCellAnchor>
  <xdr:twoCellAnchor>
    <xdr:from>
      <xdr:col>5</xdr:col>
      <xdr:colOff>514350</xdr:colOff>
      <xdr:row>17</xdr:row>
      <xdr:rowOff>28575</xdr:rowOff>
    </xdr:from>
    <xdr:to>
      <xdr:col>6</xdr:col>
      <xdr:colOff>676275</xdr:colOff>
      <xdr:row>22</xdr:row>
      <xdr:rowOff>28575</xdr:rowOff>
    </xdr:to>
    <xdr:sp macro="" textlink="">
      <xdr:nvSpPr>
        <xdr:cNvPr id="46" name="45 Elipse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4324350" y="3314700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9</a:t>
          </a:r>
        </a:p>
      </xdr:txBody>
    </xdr:sp>
    <xdr:clientData/>
  </xdr:twoCellAnchor>
  <xdr:twoCellAnchor>
    <xdr:from>
      <xdr:col>1</xdr:col>
      <xdr:colOff>28575</xdr:colOff>
      <xdr:row>22</xdr:row>
      <xdr:rowOff>104775</xdr:rowOff>
    </xdr:from>
    <xdr:to>
      <xdr:col>2</xdr:col>
      <xdr:colOff>190500</xdr:colOff>
      <xdr:row>27</xdr:row>
      <xdr:rowOff>104775</xdr:rowOff>
    </xdr:to>
    <xdr:sp macro="" textlink="">
      <xdr:nvSpPr>
        <xdr:cNvPr id="47" name="46 Elipse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790575" y="4362450"/>
          <a:ext cx="923925" cy="9810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13</a:t>
          </a:r>
        </a:p>
      </xdr:txBody>
    </xdr:sp>
    <xdr:clientData/>
  </xdr:twoCellAnchor>
  <xdr:twoCellAnchor>
    <xdr:from>
      <xdr:col>2</xdr:col>
      <xdr:colOff>438150</xdr:colOff>
      <xdr:row>22</xdr:row>
      <xdr:rowOff>104775</xdr:rowOff>
    </xdr:from>
    <xdr:to>
      <xdr:col>3</xdr:col>
      <xdr:colOff>600075</xdr:colOff>
      <xdr:row>27</xdr:row>
      <xdr:rowOff>104775</xdr:rowOff>
    </xdr:to>
    <xdr:sp macro="" textlink="">
      <xdr:nvSpPr>
        <xdr:cNvPr id="48" name="47 Elipse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1962150" y="4362450"/>
          <a:ext cx="923925" cy="9810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14</a:t>
          </a:r>
        </a:p>
      </xdr:txBody>
    </xdr:sp>
    <xdr:clientData/>
  </xdr:twoCellAnchor>
  <xdr:twoCellAnchor>
    <xdr:from>
      <xdr:col>4</xdr:col>
      <xdr:colOff>76200</xdr:colOff>
      <xdr:row>23</xdr:row>
      <xdr:rowOff>19050</xdr:rowOff>
    </xdr:from>
    <xdr:to>
      <xdr:col>5</xdr:col>
      <xdr:colOff>238125</xdr:colOff>
      <xdr:row>28</xdr:row>
      <xdr:rowOff>19050</xdr:rowOff>
    </xdr:to>
    <xdr:sp macro="" textlink="">
      <xdr:nvSpPr>
        <xdr:cNvPr id="49" name="48 Elipse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3124200" y="4476750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15</a:t>
          </a:r>
        </a:p>
      </xdr:txBody>
    </xdr:sp>
    <xdr:clientData/>
  </xdr:twoCellAnchor>
  <xdr:twoCellAnchor>
    <xdr:from>
      <xdr:col>5</xdr:col>
      <xdr:colOff>514350</xdr:colOff>
      <xdr:row>23</xdr:row>
      <xdr:rowOff>28575</xdr:rowOff>
    </xdr:from>
    <xdr:to>
      <xdr:col>6</xdr:col>
      <xdr:colOff>676275</xdr:colOff>
      <xdr:row>28</xdr:row>
      <xdr:rowOff>28575</xdr:rowOff>
    </xdr:to>
    <xdr:sp macro="" textlink="">
      <xdr:nvSpPr>
        <xdr:cNvPr id="50" name="49 Elipse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4324350" y="4486275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16</a:t>
          </a:r>
        </a:p>
      </xdr:txBody>
    </xdr:sp>
    <xdr:clientData/>
  </xdr:twoCellAnchor>
  <xdr:twoCellAnchor>
    <xdr:from>
      <xdr:col>6</xdr:col>
      <xdr:colOff>161926</xdr:colOff>
      <xdr:row>4</xdr:row>
      <xdr:rowOff>161924</xdr:rowOff>
    </xdr:from>
    <xdr:to>
      <xdr:col>6</xdr:col>
      <xdr:colOff>428626</xdr:colOff>
      <xdr:row>6</xdr:row>
      <xdr:rowOff>38099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/>
      </xdr:nvSpPr>
      <xdr:spPr>
        <a:xfrm>
          <a:off x="4733926" y="923924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6</xdr:col>
      <xdr:colOff>152400</xdr:colOff>
      <xdr:row>7</xdr:row>
      <xdr:rowOff>123825</xdr:rowOff>
    </xdr:from>
    <xdr:to>
      <xdr:col>6</xdr:col>
      <xdr:colOff>419100</xdr:colOff>
      <xdr:row>9</xdr:row>
      <xdr:rowOff>0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/>
      </xdr:nvSpPr>
      <xdr:spPr>
        <a:xfrm>
          <a:off x="4724400" y="1457325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390526</xdr:colOff>
      <xdr:row>4</xdr:row>
      <xdr:rowOff>142875</xdr:rowOff>
    </xdr:from>
    <xdr:to>
      <xdr:col>1</xdr:col>
      <xdr:colOff>657226</xdr:colOff>
      <xdr:row>6</xdr:row>
      <xdr:rowOff>19050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/>
      </xdr:nvSpPr>
      <xdr:spPr>
        <a:xfrm>
          <a:off x="1152526" y="9048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1</xdr:col>
      <xdr:colOff>381000</xdr:colOff>
      <xdr:row>7</xdr:row>
      <xdr:rowOff>104776</xdr:rowOff>
    </xdr:from>
    <xdr:to>
      <xdr:col>1</xdr:col>
      <xdr:colOff>647700</xdr:colOff>
      <xdr:row>8</xdr:row>
      <xdr:rowOff>171451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/>
      </xdr:nvSpPr>
      <xdr:spPr>
        <a:xfrm>
          <a:off x="1143000" y="143827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3</xdr:col>
      <xdr:colOff>95251</xdr:colOff>
      <xdr:row>4</xdr:row>
      <xdr:rowOff>171450</xdr:rowOff>
    </xdr:from>
    <xdr:to>
      <xdr:col>3</xdr:col>
      <xdr:colOff>361951</xdr:colOff>
      <xdr:row>6</xdr:row>
      <xdr:rowOff>47625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/>
      </xdr:nvSpPr>
      <xdr:spPr>
        <a:xfrm>
          <a:off x="2381251" y="9334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3</xdr:col>
      <xdr:colOff>85725</xdr:colOff>
      <xdr:row>7</xdr:row>
      <xdr:rowOff>133351</xdr:rowOff>
    </xdr:from>
    <xdr:to>
      <xdr:col>3</xdr:col>
      <xdr:colOff>352425</xdr:colOff>
      <xdr:row>9</xdr:row>
      <xdr:rowOff>9526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/>
      </xdr:nvSpPr>
      <xdr:spPr>
        <a:xfrm>
          <a:off x="2371725" y="1466851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476251</xdr:colOff>
      <xdr:row>4</xdr:row>
      <xdr:rowOff>142875</xdr:rowOff>
    </xdr:from>
    <xdr:to>
      <xdr:col>4</xdr:col>
      <xdr:colOff>742951</xdr:colOff>
      <xdr:row>6</xdr:row>
      <xdr:rowOff>19050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/>
      </xdr:nvSpPr>
      <xdr:spPr>
        <a:xfrm>
          <a:off x="3524251" y="9048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466725</xdr:colOff>
      <xdr:row>7</xdr:row>
      <xdr:rowOff>104776</xdr:rowOff>
    </xdr:from>
    <xdr:to>
      <xdr:col>4</xdr:col>
      <xdr:colOff>733425</xdr:colOff>
      <xdr:row>8</xdr:row>
      <xdr:rowOff>171451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/>
      </xdr:nvSpPr>
      <xdr:spPr>
        <a:xfrm>
          <a:off x="3514725" y="143827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352426</xdr:colOff>
      <xdr:row>11</xdr:row>
      <xdr:rowOff>9525</xdr:rowOff>
    </xdr:from>
    <xdr:to>
      <xdr:col>1</xdr:col>
      <xdr:colOff>619126</xdr:colOff>
      <xdr:row>12</xdr:row>
      <xdr:rowOff>76200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/>
      </xdr:nvSpPr>
      <xdr:spPr>
        <a:xfrm>
          <a:off x="1114426" y="21240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1</xdr:col>
      <xdr:colOff>342900</xdr:colOff>
      <xdr:row>13</xdr:row>
      <xdr:rowOff>161926</xdr:rowOff>
    </xdr:from>
    <xdr:to>
      <xdr:col>1</xdr:col>
      <xdr:colOff>609600</xdr:colOff>
      <xdr:row>15</xdr:row>
      <xdr:rowOff>38101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/>
      </xdr:nvSpPr>
      <xdr:spPr>
        <a:xfrm>
          <a:off x="1104900" y="2667001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3</xdr:col>
      <xdr:colOff>95251</xdr:colOff>
      <xdr:row>11</xdr:row>
      <xdr:rowOff>38100</xdr:rowOff>
    </xdr:from>
    <xdr:to>
      <xdr:col>3</xdr:col>
      <xdr:colOff>361951</xdr:colOff>
      <xdr:row>12</xdr:row>
      <xdr:rowOff>104775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/>
      </xdr:nvSpPr>
      <xdr:spPr>
        <a:xfrm>
          <a:off x="2381251" y="21526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3</xdr:col>
      <xdr:colOff>85725</xdr:colOff>
      <xdr:row>14</xdr:row>
      <xdr:rowOff>1</xdr:rowOff>
    </xdr:from>
    <xdr:to>
      <xdr:col>3</xdr:col>
      <xdr:colOff>352425</xdr:colOff>
      <xdr:row>15</xdr:row>
      <xdr:rowOff>66676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/>
      </xdr:nvSpPr>
      <xdr:spPr>
        <a:xfrm>
          <a:off x="2371725" y="2695576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504826</xdr:colOff>
      <xdr:row>11</xdr:row>
      <xdr:rowOff>95250</xdr:rowOff>
    </xdr:from>
    <xdr:to>
      <xdr:col>5</xdr:col>
      <xdr:colOff>9526</xdr:colOff>
      <xdr:row>12</xdr:row>
      <xdr:rowOff>161925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/>
      </xdr:nvSpPr>
      <xdr:spPr>
        <a:xfrm>
          <a:off x="3552826" y="220980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495300</xdr:colOff>
      <xdr:row>14</xdr:row>
      <xdr:rowOff>57151</xdr:rowOff>
    </xdr:from>
    <xdr:to>
      <xdr:col>5</xdr:col>
      <xdr:colOff>0</xdr:colOff>
      <xdr:row>15</xdr:row>
      <xdr:rowOff>123826</xdr:rowOff>
    </xdr:to>
    <xdr:sp macro="" textlink="">
      <xdr:nvSpPr>
        <xdr:cNvPr id="64" name="63 CuadroTexto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/>
      </xdr:nvSpPr>
      <xdr:spPr>
        <a:xfrm>
          <a:off x="3543300" y="2752726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6</xdr:col>
      <xdr:colOff>171451</xdr:colOff>
      <xdr:row>11</xdr:row>
      <xdr:rowOff>95250</xdr:rowOff>
    </xdr:from>
    <xdr:to>
      <xdr:col>6</xdr:col>
      <xdr:colOff>438151</xdr:colOff>
      <xdr:row>12</xdr:row>
      <xdr:rowOff>161925</xdr:rowOff>
    </xdr:to>
    <xdr:sp macro="" textlink="">
      <xdr:nvSpPr>
        <xdr:cNvPr id="65" name="64 CuadroTexto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/>
      </xdr:nvSpPr>
      <xdr:spPr>
        <a:xfrm>
          <a:off x="4743451" y="220980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6</xdr:col>
      <xdr:colOff>161925</xdr:colOff>
      <xdr:row>14</xdr:row>
      <xdr:rowOff>57151</xdr:rowOff>
    </xdr:from>
    <xdr:to>
      <xdr:col>6</xdr:col>
      <xdr:colOff>428625</xdr:colOff>
      <xdr:row>15</xdr:row>
      <xdr:rowOff>123826</xdr:rowOff>
    </xdr:to>
    <xdr:sp macro="" textlink="">
      <xdr:nvSpPr>
        <xdr:cNvPr id="66" name="65 CuadroTexto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 txBox="1"/>
      </xdr:nvSpPr>
      <xdr:spPr>
        <a:xfrm>
          <a:off x="4733925" y="2752726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381001</xdr:colOff>
      <xdr:row>16</xdr:row>
      <xdr:rowOff>142875</xdr:rowOff>
    </xdr:from>
    <xdr:to>
      <xdr:col>1</xdr:col>
      <xdr:colOff>647701</xdr:colOff>
      <xdr:row>18</xdr:row>
      <xdr:rowOff>19050</xdr:rowOff>
    </xdr:to>
    <xdr:sp macro="" textlink="">
      <xdr:nvSpPr>
        <xdr:cNvPr id="67" name="66 CuadroTexto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 txBox="1"/>
      </xdr:nvSpPr>
      <xdr:spPr>
        <a:xfrm>
          <a:off x="1143001" y="3228975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1</xdr:col>
      <xdr:colOff>371475</xdr:colOff>
      <xdr:row>19</xdr:row>
      <xdr:rowOff>104776</xdr:rowOff>
    </xdr:from>
    <xdr:to>
      <xdr:col>1</xdr:col>
      <xdr:colOff>638175</xdr:colOff>
      <xdr:row>20</xdr:row>
      <xdr:rowOff>171451</xdr:rowOff>
    </xdr:to>
    <xdr:sp macro="" textlink="">
      <xdr:nvSpPr>
        <xdr:cNvPr id="68" name="67 CuadroTexto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/>
      </xdr:nvSpPr>
      <xdr:spPr>
        <a:xfrm>
          <a:off x="1133475" y="378142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2</xdr:col>
      <xdr:colOff>742951</xdr:colOff>
      <xdr:row>17</xdr:row>
      <xdr:rowOff>47625</xdr:rowOff>
    </xdr:from>
    <xdr:to>
      <xdr:col>3</xdr:col>
      <xdr:colOff>247651</xdr:colOff>
      <xdr:row>18</xdr:row>
      <xdr:rowOff>114300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 txBox="1"/>
      </xdr:nvSpPr>
      <xdr:spPr>
        <a:xfrm>
          <a:off x="2266951" y="33337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2</xdr:col>
      <xdr:colOff>733425</xdr:colOff>
      <xdr:row>20</xdr:row>
      <xdr:rowOff>9526</xdr:rowOff>
    </xdr:from>
    <xdr:to>
      <xdr:col>3</xdr:col>
      <xdr:colOff>238125</xdr:colOff>
      <xdr:row>21</xdr:row>
      <xdr:rowOff>76201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 txBox="1"/>
      </xdr:nvSpPr>
      <xdr:spPr>
        <a:xfrm>
          <a:off x="2257425" y="3876676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419101</xdr:colOff>
      <xdr:row>17</xdr:row>
      <xdr:rowOff>85725</xdr:rowOff>
    </xdr:from>
    <xdr:to>
      <xdr:col>4</xdr:col>
      <xdr:colOff>685801</xdr:colOff>
      <xdr:row>18</xdr:row>
      <xdr:rowOff>152400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/>
      </xdr:nvSpPr>
      <xdr:spPr>
        <a:xfrm>
          <a:off x="3467101" y="33718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409575</xdr:colOff>
      <xdr:row>20</xdr:row>
      <xdr:rowOff>47626</xdr:rowOff>
    </xdr:from>
    <xdr:to>
      <xdr:col>4</xdr:col>
      <xdr:colOff>676275</xdr:colOff>
      <xdr:row>21</xdr:row>
      <xdr:rowOff>114301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/>
      </xdr:nvSpPr>
      <xdr:spPr>
        <a:xfrm>
          <a:off x="3457575" y="3914776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6</xdr:col>
      <xdr:colOff>76201</xdr:colOff>
      <xdr:row>17</xdr:row>
      <xdr:rowOff>95250</xdr:rowOff>
    </xdr:from>
    <xdr:to>
      <xdr:col>6</xdr:col>
      <xdr:colOff>342901</xdr:colOff>
      <xdr:row>18</xdr:row>
      <xdr:rowOff>161925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/>
      </xdr:nvSpPr>
      <xdr:spPr>
        <a:xfrm>
          <a:off x="4648201" y="33813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6</xdr:col>
      <xdr:colOff>66675</xdr:colOff>
      <xdr:row>20</xdr:row>
      <xdr:rowOff>57151</xdr:rowOff>
    </xdr:from>
    <xdr:to>
      <xdr:col>6</xdr:col>
      <xdr:colOff>333375</xdr:colOff>
      <xdr:row>21</xdr:row>
      <xdr:rowOff>123826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/>
      </xdr:nvSpPr>
      <xdr:spPr>
        <a:xfrm>
          <a:off x="4638675" y="3924301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371476</xdr:colOff>
      <xdr:row>22</xdr:row>
      <xdr:rowOff>180975</xdr:rowOff>
    </xdr:from>
    <xdr:to>
      <xdr:col>1</xdr:col>
      <xdr:colOff>638176</xdr:colOff>
      <xdr:row>24</xdr:row>
      <xdr:rowOff>57150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/>
      </xdr:nvSpPr>
      <xdr:spPr>
        <a:xfrm>
          <a:off x="1133476" y="4438650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1</xdr:col>
      <xdr:colOff>361950</xdr:colOff>
      <xdr:row>25</xdr:row>
      <xdr:rowOff>142876</xdr:rowOff>
    </xdr:from>
    <xdr:to>
      <xdr:col>1</xdr:col>
      <xdr:colOff>628650</xdr:colOff>
      <xdr:row>27</xdr:row>
      <xdr:rowOff>19051</xdr:rowOff>
    </xdr:to>
    <xdr:sp macro="" textlink="">
      <xdr:nvSpPr>
        <xdr:cNvPr id="76" name="75 CuadroTexto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/>
      </xdr:nvSpPr>
      <xdr:spPr>
        <a:xfrm>
          <a:off x="1123950" y="4991101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3</xdr:col>
      <xdr:colOff>9526</xdr:colOff>
      <xdr:row>22</xdr:row>
      <xdr:rowOff>180975</xdr:rowOff>
    </xdr:from>
    <xdr:to>
      <xdr:col>3</xdr:col>
      <xdr:colOff>276226</xdr:colOff>
      <xdr:row>24</xdr:row>
      <xdr:rowOff>57150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/>
      </xdr:nvSpPr>
      <xdr:spPr>
        <a:xfrm>
          <a:off x="2295526" y="4438650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3</xdr:col>
      <xdr:colOff>0</xdr:colOff>
      <xdr:row>25</xdr:row>
      <xdr:rowOff>142876</xdr:rowOff>
    </xdr:from>
    <xdr:to>
      <xdr:col>3</xdr:col>
      <xdr:colOff>266700</xdr:colOff>
      <xdr:row>27</xdr:row>
      <xdr:rowOff>19051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/>
      </xdr:nvSpPr>
      <xdr:spPr>
        <a:xfrm>
          <a:off x="2286000" y="4991101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371476</xdr:colOff>
      <xdr:row>23</xdr:row>
      <xdr:rowOff>85725</xdr:rowOff>
    </xdr:from>
    <xdr:to>
      <xdr:col>4</xdr:col>
      <xdr:colOff>638176</xdr:colOff>
      <xdr:row>24</xdr:row>
      <xdr:rowOff>152400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/>
      </xdr:nvSpPr>
      <xdr:spPr>
        <a:xfrm>
          <a:off x="3419476" y="454342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361950</xdr:colOff>
      <xdr:row>26</xdr:row>
      <xdr:rowOff>47626</xdr:rowOff>
    </xdr:from>
    <xdr:to>
      <xdr:col>4</xdr:col>
      <xdr:colOff>628650</xdr:colOff>
      <xdr:row>27</xdr:row>
      <xdr:rowOff>114301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/>
      </xdr:nvSpPr>
      <xdr:spPr>
        <a:xfrm>
          <a:off x="3409950" y="5086351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6</xdr:col>
      <xdr:colOff>104776</xdr:colOff>
      <xdr:row>23</xdr:row>
      <xdr:rowOff>123825</xdr:rowOff>
    </xdr:from>
    <xdr:to>
      <xdr:col>6</xdr:col>
      <xdr:colOff>371476</xdr:colOff>
      <xdr:row>25</xdr:row>
      <xdr:rowOff>0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/>
      </xdr:nvSpPr>
      <xdr:spPr>
        <a:xfrm>
          <a:off x="4676776" y="4581525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6</xdr:col>
      <xdr:colOff>95250</xdr:colOff>
      <xdr:row>26</xdr:row>
      <xdr:rowOff>85726</xdr:rowOff>
    </xdr:from>
    <xdr:to>
      <xdr:col>6</xdr:col>
      <xdr:colOff>361950</xdr:colOff>
      <xdr:row>27</xdr:row>
      <xdr:rowOff>152401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/>
      </xdr:nvSpPr>
      <xdr:spPr>
        <a:xfrm>
          <a:off x="4667250" y="5124451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2</xdr:col>
      <xdr:colOff>161925</xdr:colOff>
      <xdr:row>34</xdr:row>
      <xdr:rowOff>171450</xdr:rowOff>
    </xdr:to>
    <xdr:sp macro="" textlink="">
      <xdr:nvSpPr>
        <xdr:cNvPr id="83" name="82 Elipse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762000" y="5819775"/>
          <a:ext cx="923925" cy="9525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17</a:t>
          </a:r>
        </a:p>
      </xdr:txBody>
    </xdr:sp>
    <xdr:clientData/>
  </xdr:twoCellAnchor>
  <xdr:twoCellAnchor>
    <xdr:from>
      <xdr:col>2</xdr:col>
      <xdr:colOff>619125</xdr:colOff>
      <xdr:row>30</xdr:row>
      <xdr:rowOff>9525</xdr:rowOff>
    </xdr:from>
    <xdr:to>
      <xdr:col>4</xdr:col>
      <xdr:colOff>19050</xdr:colOff>
      <xdr:row>34</xdr:row>
      <xdr:rowOff>180975</xdr:rowOff>
    </xdr:to>
    <xdr:sp macro="" textlink="">
      <xdr:nvSpPr>
        <xdr:cNvPr id="84" name="83 Elipse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2143125" y="5829300"/>
          <a:ext cx="923925" cy="9525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18</a:t>
          </a:r>
        </a:p>
      </xdr:txBody>
    </xdr:sp>
    <xdr:clientData/>
  </xdr:twoCellAnchor>
  <xdr:twoCellAnchor>
    <xdr:from>
      <xdr:col>4</xdr:col>
      <xdr:colOff>247650</xdr:colOff>
      <xdr:row>30</xdr:row>
      <xdr:rowOff>0</xdr:rowOff>
    </xdr:from>
    <xdr:to>
      <xdr:col>5</xdr:col>
      <xdr:colOff>409575</xdr:colOff>
      <xdr:row>34</xdr:row>
      <xdr:rowOff>171450</xdr:rowOff>
    </xdr:to>
    <xdr:sp macro="" textlink="">
      <xdr:nvSpPr>
        <xdr:cNvPr id="85" name="84 Elipse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3295650" y="5819775"/>
          <a:ext cx="923925" cy="9525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19</a:t>
          </a:r>
        </a:p>
      </xdr:txBody>
    </xdr:sp>
    <xdr:clientData/>
  </xdr:twoCellAnchor>
  <xdr:twoCellAnchor>
    <xdr:from>
      <xdr:col>6</xdr:col>
      <xdr:colOff>28575</xdr:colOff>
      <xdr:row>30</xdr:row>
      <xdr:rowOff>28575</xdr:rowOff>
    </xdr:from>
    <xdr:to>
      <xdr:col>7</xdr:col>
      <xdr:colOff>190500</xdr:colOff>
      <xdr:row>35</xdr:row>
      <xdr:rowOff>0</xdr:rowOff>
    </xdr:to>
    <xdr:sp macro="" textlink="">
      <xdr:nvSpPr>
        <xdr:cNvPr id="86" name="85 Elipse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4600575" y="5848350"/>
          <a:ext cx="923925" cy="9525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20</a:t>
          </a:r>
        </a:p>
      </xdr:txBody>
    </xdr:sp>
    <xdr:clientData/>
  </xdr:twoCellAnchor>
  <xdr:twoCellAnchor>
    <xdr:from>
      <xdr:col>1</xdr:col>
      <xdr:colOff>361951</xdr:colOff>
      <xdr:row>30</xdr:row>
      <xdr:rowOff>76200</xdr:rowOff>
    </xdr:from>
    <xdr:to>
      <xdr:col>1</xdr:col>
      <xdr:colOff>628651</xdr:colOff>
      <xdr:row>31</xdr:row>
      <xdr:rowOff>133350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/>
      </xdr:nvSpPr>
      <xdr:spPr>
        <a:xfrm>
          <a:off x="1123951" y="58959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1</xdr:col>
      <xdr:colOff>352425</xdr:colOff>
      <xdr:row>33</xdr:row>
      <xdr:rowOff>19051</xdr:rowOff>
    </xdr:from>
    <xdr:to>
      <xdr:col>1</xdr:col>
      <xdr:colOff>619125</xdr:colOff>
      <xdr:row>34</xdr:row>
      <xdr:rowOff>85726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/>
      </xdr:nvSpPr>
      <xdr:spPr>
        <a:xfrm>
          <a:off x="1114425" y="642937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3</xdr:col>
      <xdr:colOff>190501</xdr:colOff>
      <xdr:row>30</xdr:row>
      <xdr:rowOff>66675</xdr:rowOff>
    </xdr:from>
    <xdr:to>
      <xdr:col>3</xdr:col>
      <xdr:colOff>457201</xdr:colOff>
      <xdr:row>31</xdr:row>
      <xdr:rowOff>123825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/>
      </xdr:nvSpPr>
      <xdr:spPr>
        <a:xfrm>
          <a:off x="2476501" y="58864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3</xdr:col>
      <xdr:colOff>180975</xdr:colOff>
      <xdr:row>33</xdr:row>
      <xdr:rowOff>9526</xdr:rowOff>
    </xdr:from>
    <xdr:to>
      <xdr:col>3</xdr:col>
      <xdr:colOff>447675</xdr:colOff>
      <xdr:row>34</xdr:row>
      <xdr:rowOff>76201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 txBox="1"/>
      </xdr:nvSpPr>
      <xdr:spPr>
        <a:xfrm>
          <a:off x="2466975" y="641985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590551</xdr:colOff>
      <xdr:row>30</xdr:row>
      <xdr:rowOff>85725</xdr:rowOff>
    </xdr:from>
    <xdr:to>
      <xdr:col>5</xdr:col>
      <xdr:colOff>95251</xdr:colOff>
      <xdr:row>31</xdr:row>
      <xdr:rowOff>142875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/>
      </xdr:nvSpPr>
      <xdr:spPr>
        <a:xfrm>
          <a:off x="3638551" y="590550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581025</xdr:colOff>
      <xdr:row>33</xdr:row>
      <xdr:rowOff>28576</xdr:rowOff>
    </xdr:from>
    <xdr:to>
      <xdr:col>5</xdr:col>
      <xdr:colOff>85725</xdr:colOff>
      <xdr:row>34</xdr:row>
      <xdr:rowOff>95251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 txBox="1"/>
      </xdr:nvSpPr>
      <xdr:spPr>
        <a:xfrm>
          <a:off x="3629025" y="643890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6</xdr:col>
      <xdr:colOff>352426</xdr:colOff>
      <xdr:row>30</xdr:row>
      <xdr:rowOff>104775</xdr:rowOff>
    </xdr:from>
    <xdr:to>
      <xdr:col>6</xdr:col>
      <xdr:colOff>619126</xdr:colOff>
      <xdr:row>31</xdr:row>
      <xdr:rowOff>161925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 txBox="1"/>
      </xdr:nvSpPr>
      <xdr:spPr>
        <a:xfrm>
          <a:off x="4924426" y="59245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6</xdr:col>
      <xdr:colOff>342900</xdr:colOff>
      <xdr:row>33</xdr:row>
      <xdr:rowOff>47626</xdr:rowOff>
    </xdr:from>
    <xdr:to>
      <xdr:col>6</xdr:col>
      <xdr:colOff>609600</xdr:colOff>
      <xdr:row>34</xdr:row>
      <xdr:rowOff>114301</xdr:rowOff>
    </xdr:to>
    <xdr:sp macro="" textlink="">
      <xdr:nvSpPr>
        <xdr:cNvPr id="94" name="93 CuadroTexto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/>
      </xdr:nvSpPr>
      <xdr:spPr>
        <a:xfrm>
          <a:off x="4914900" y="645795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66675</xdr:rowOff>
    </xdr:from>
    <xdr:to>
      <xdr:col>2</xdr:col>
      <xdr:colOff>200025</xdr:colOff>
      <xdr:row>9</xdr:row>
      <xdr:rowOff>66675</xdr:rowOff>
    </xdr:to>
    <xdr:sp macro="" textlink="">
      <xdr:nvSpPr>
        <xdr:cNvPr id="3" name="2 Elips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00100" y="828675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4</a:t>
          </a:r>
        </a:p>
      </xdr:txBody>
    </xdr:sp>
    <xdr:clientData/>
  </xdr:twoCellAnchor>
  <xdr:twoCellAnchor>
    <xdr:from>
      <xdr:col>2</xdr:col>
      <xdr:colOff>514350</xdr:colOff>
      <xdr:row>4</xdr:row>
      <xdr:rowOff>76200</xdr:rowOff>
    </xdr:from>
    <xdr:to>
      <xdr:col>3</xdr:col>
      <xdr:colOff>676275</xdr:colOff>
      <xdr:row>9</xdr:row>
      <xdr:rowOff>76200</xdr:rowOff>
    </xdr:to>
    <xdr:sp macro="" textlink="">
      <xdr:nvSpPr>
        <xdr:cNvPr id="4" name="3 Elips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2038350" y="838200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3</a:t>
          </a:r>
        </a:p>
      </xdr:txBody>
    </xdr:sp>
    <xdr:clientData/>
  </xdr:twoCellAnchor>
  <xdr:twoCellAnchor>
    <xdr:from>
      <xdr:col>4</xdr:col>
      <xdr:colOff>152400</xdr:colOff>
      <xdr:row>4</xdr:row>
      <xdr:rowOff>85725</xdr:rowOff>
    </xdr:from>
    <xdr:to>
      <xdr:col>5</xdr:col>
      <xdr:colOff>314325</xdr:colOff>
      <xdr:row>9</xdr:row>
      <xdr:rowOff>85725</xdr:rowOff>
    </xdr:to>
    <xdr:sp macro="" textlink="">
      <xdr:nvSpPr>
        <xdr:cNvPr id="5" name="4 Elips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200400" y="847725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2</a:t>
          </a:r>
        </a:p>
      </xdr:txBody>
    </xdr:sp>
    <xdr:clientData/>
  </xdr:twoCellAnchor>
  <xdr:twoCellAnchor>
    <xdr:from>
      <xdr:col>5</xdr:col>
      <xdr:colOff>590550</xdr:colOff>
      <xdr:row>4</xdr:row>
      <xdr:rowOff>95250</xdr:rowOff>
    </xdr:from>
    <xdr:to>
      <xdr:col>6</xdr:col>
      <xdr:colOff>752475</xdr:colOff>
      <xdr:row>9</xdr:row>
      <xdr:rowOff>95250</xdr:rowOff>
    </xdr:to>
    <xdr:sp macro="" textlink="">
      <xdr:nvSpPr>
        <xdr:cNvPr id="6" name="5 Elips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4400550" y="857250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</a:t>
          </a:r>
        </a:p>
      </xdr:txBody>
    </xdr:sp>
    <xdr:clientData/>
  </xdr:twoCellAnchor>
  <xdr:twoCellAnchor>
    <xdr:from>
      <xdr:col>1</xdr:col>
      <xdr:colOff>19050</xdr:colOff>
      <xdr:row>10</xdr:row>
      <xdr:rowOff>104775</xdr:rowOff>
    </xdr:from>
    <xdr:to>
      <xdr:col>2</xdr:col>
      <xdr:colOff>180975</xdr:colOff>
      <xdr:row>15</xdr:row>
      <xdr:rowOff>104775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781050" y="2028825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5</a:t>
          </a:r>
        </a:p>
      </xdr:txBody>
    </xdr:sp>
    <xdr:clientData/>
  </xdr:twoCellAnchor>
  <xdr:twoCellAnchor>
    <xdr:from>
      <xdr:col>2</xdr:col>
      <xdr:colOff>495300</xdr:colOff>
      <xdr:row>10</xdr:row>
      <xdr:rowOff>142875</xdr:rowOff>
    </xdr:from>
    <xdr:to>
      <xdr:col>3</xdr:col>
      <xdr:colOff>657225</xdr:colOff>
      <xdr:row>15</xdr:row>
      <xdr:rowOff>142875</xdr:rowOff>
    </xdr:to>
    <xdr:sp macro="" textlink="">
      <xdr:nvSpPr>
        <xdr:cNvPr id="8" name="7 Elipse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2019300" y="2066925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6</a:t>
          </a:r>
        </a:p>
      </xdr:txBody>
    </xdr:sp>
    <xdr:clientData/>
  </xdr:twoCellAnchor>
  <xdr:twoCellAnchor>
    <xdr:from>
      <xdr:col>4</xdr:col>
      <xdr:colOff>161925</xdr:colOff>
      <xdr:row>11</xdr:row>
      <xdr:rowOff>19050</xdr:rowOff>
    </xdr:from>
    <xdr:to>
      <xdr:col>5</xdr:col>
      <xdr:colOff>323850</xdr:colOff>
      <xdr:row>16</xdr:row>
      <xdr:rowOff>19050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3209925" y="2133600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7</a:t>
          </a:r>
        </a:p>
      </xdr:txBody>
    </xdr:sp>
    <xdr:clientData/>
  </xdr:twoCellAnchor>
  <xdr:twoCellAnchor>
    <xdr:from>
      <xdr:col>5</xdr:col>
      <xdr:colOff>600075</xdr:colOff>
      <xdr:row>11</xdr:row>
      <xdr:rowOff>28575</xdr:rowOff>
    </xdr:from>
    <xdr:to>
      <xdr:col>7</xdr:col>
      <xdr:colOff>0</xdr:colOff>
      <xdr:row>16</xdr:row>
      <xdr:rowOff>28575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4410075" y="2143125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8</a:t>
          </a:r>
        </a:p>
      </xdr:txBody>
    </xdr:sp>
    <xdr:clientData/>
  </xdr:twoCellAnchor>
  <xdr:twoCellAnchor>
    <xdr:from>
      <xdr:col>0</xdr:col>
      <xdr:colOff>695325</xdr:colOff>
      <xdr:row>16</xdr:row>
      <xdr:rowOff>133350</xdr:rowOff>
    </xdr:from>
    <xdr:to>
      <xdr:col>2</xdr:col>
      <xdr:colOff>95250</xdr:colOff>
      <xdr:row>21</xdr:row>
      <xdr:rowOff>133350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695325" y="3209925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12</a:t>
          </a:r>
        </a:p>
      </xdr:txBody>
    </xdr:sp>
    <xdr:clientData/>
  </xdr:twoCellAnchor>
  <xdr:twoCellAnchor>
    <xdr:from>
      <xdr:col>2</xdr:col>
      <xdr:colOff>438150</xdr:colOff>
      <xdr:row>16</xdr:row>
      <xdr:rowOff>142875</xdr:rowOff>
    </xdr:from>
    <xdr:to>
      <xdr:col>3</xdr:col>
      <xdr:colOff>600075</xdr:colOff>
      <xdr:row>21</xdr:row>
      <xdr:rowOff>142875</xdr:rowOff>
    </xdr:to>
    <xdr:sp macro="" textlink="">
      <xdr:nvSpPr>
        <xdr:cNvPr id="12" name="11 Elipse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1962150" y="3219450"/>
          <a:ext cx="923925" cy="9715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11</a:t>
          </a:r>
        </a:p>
      </xdr:txBody>
    </xdr:sp>
    <xdr:clientData/>
  </xdr:twoCellAnchor>
  <xdr:twoCellAnchor>
    <xdr:from>
      <xdr:col>4</xdr:col>
      <xdr:colOff>76200</xdr:colOff>
      <xdr:row>17</xdr:row>
      <xdr:rowOff>19050</xdr:rowOff>
    </xdr:from>
    <xdr:to>
      <xdr:col>5</xdr:col>
      <xdr:colOff>238125</xdr:colOff>
      <xdr:row>22</xdr:row>
      <xdr:rowOff>19050</xdr:rowOff>
    </xdr:to>
    <xdr:sp macro="" textlink="">
      <xdr:nvSpPr>
        <xdr:cNvPr id="13" name="12 Elipse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3124200" y="3295650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10</a:t>
          </a:r>
        </a:p>
      </xdr:txBody>
    </xdr:sp>
    <xdr:clientData/>
  </xdr:twoCellAnchor>
  <xdr:twoCellAnchor>
    <xdr:from>
      <xdr:col>5</xdr:col>
      <xdr:colOff>514350</xdr:colOff>
      <xdr:row>17</xdr:row>
      <xdr:rowOff>28575</xdr:rowOff>
    </xdr:from>
    <xdr:to>
      <xdr:col>6</xdr:col>
      <xdr:colOff>676275</xdr:colOff>
      <xdr:row>22</xdr:row>
      <xdr:rowOff>28575</xdr:rowOff>
    </xdr:to>
    <xdr:sp macro="" textlink="">
      <xdr:nvSpPr>
        <xdr:cNvPr id="14" name="13 Elipse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4324350" y="3305175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9</a:t>
          </a:r>
        </a:p>
      </xdr:txBody>
    </xdr:sp>
    <xdr:clientData/>
  </xdr:twoCellAnchor>
  <xdr:twoCellAnchor>
    <xdr:from>
      <xdr:col>1</xdr:col>
      <xdr:colOff>28575</xdr:colOff>
      <xdr:row>22</xdr:row>
      <xdr:rowOff>104775</xdr:rowOff>
    </xdr:from>
    <xdr:to>
      <xdr:col>2</xdr:col>
      <xdr:colOff>190500</xdr:colOff>
      <xdr:row>27</xdr:row>
      <xdr:rowOff>104775</xdr:rowOff>
    </xdr:to>
    <xdr:sp macro="" textlink="">
      <xdr:nvSpPr>
        <xdr:cNvPr id="15" name="14 Elipse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790575" y="4343400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13</a:t>
          </a:r>
        </a:p>
      </xdr:txBody>
    </xdr:sp>
    <xdr:clientData/>
  </xdr:twoCellAnchor>
  <xdr:twoCellAnchor>
    <xdr:from>
      <xdr:col>2</xdr:col>
      <xdr:colOff>438150</xdr:colOff>
      <xdr:row>22</xdr:row>
      <xdr:rowOff>104775</xdr:rowOff>
    </xdr:from>
    <xdr:to>
      <xdr:col>3</xdr:col>
      <xdr:colOff>600075</xdr:colOff>
      <xdr:row>27</xdr:row>
      <xdr:rowOff>104775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1962150" y="4343400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14</a:t>
          </a:r>
        </a:p>
      </xdr:txBody>
    </xdr:sp>
    <xdr:clientData/>
  </xdr:twoCellAnchor>
  <xdr:twoCellAnchor>
    <xdr:from>
      <xdr:col>4</xdr:col>
      <xdr:colOff>76200</xdr:colOff>
      <xdr:row>23</xdr:row>
      <xdr:rowOff>19050</xdr:rowOff>
    </xdr:from>
    <xdr:to>
      <xdr:col>5</xdr:col>
      <xdr:colOff>238125</xdr:colOff>
      <xdr:row>28</xdr:row>
      <xdr:rowOff>19050</xdr:rowOff>
    </xdr:to>
    <xdr:sp macro="" textlink="">
      <xdr:nvSpPr>
        <xdr:cNvPr id="17" name="16 Elipse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3124200" y="4448175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15</a:t>
          </a:r>
        </a:p>
      </xdr:txBody>
    </xdr:sp>
    <xdr:clientData/>
  </xdr:twoCellAnchor>
  <xdr:twoCellAnchor>
    <xdr:from>
      <xdr:col>5</xdr:col>
      <xdr:colOff>514350</xdr:colOff>
      <xdr:row>23</xdr:row>
      <xdr:rowOff>28575</xdr:rowOff>
    </xdr:from>
    <xdr:to>
      <xdr:col>6</xdr:col>
      <xdr:colOff>676275</xdr:colOff>
      <xdr:row>28</xdr:row>
      <xdr:rowOff>28575</xdr:rowOff>
    </xdr:to>
    <xdr:sp macro="" textlink="">
      <xdr:nvSpPr>
        <xdr:cNvPr id="18" name="17 Elipse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4324350" y="4457700"/>
          <a:ext cx="923925" cy="9620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16</a:t>
          </a:r>
        </a:p>
      </xdr:txBody>
    </xdr:sp>
    <xdr:clientData/>
  </xdr:twoCellAnchor>
  <xdr:twoCellAnchor>
    <xdr:from>
      <xdr:col>1</xdr:col>
      <xdr:colOff>171451</xdr:colOff>
      <xdr:row>4</xdr:row>
      <xdr:rowOff>171450</xdr:rowOff>
    </xdr:from>
    <xdr:to>
      <xdr:col>1</xdr:col>
      <xdr:colOff>438151</xdr:colOff>
      <xdr:row>6</xdr:row>
      <xdr:rowOff>47625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933451" y="933450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1</xdr:col>
      <xdr:colOff>152400</xdr:colOff>
      <xdr:row>7</xdr:row>
      <xdr:rowOff>66676</xdr:rowOff>
    </xdr:from>
    <xdr:to>
      <xdr:col>1</xdr:col>
      <xdr:colOff>419100</xdr:colOff>
      <xdr:row>8</xdr:row>
      <xdr:rowOff>133351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914400" y="140970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19051</xdr:colOff>
      <xdr:row>17</xdr:row>
      <xdr:rowOff>76200</xdr:rowOff>
    </xdr:from>
    <xdr:to>
      <xdr:col>1</xdr:col>
      <xdr:colOff>285751</xdr:colOff>
      <xdr:row>18</xdr:row>
      <xdr:rowOff>152400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781051" y="3352800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1</xdr:col>
      <xdr:colOff>409575</xdr:colOff>
      <xdr:row>19</xdr:row>
      <xdr:rowOff>95251</xdr:rowOff>
    </xdr:from>
    <xdr:to>
      <xdr:col>1</xdr:col>
      <xdr:colOff>676275</xdr:colOff>
      <xdr:row>20</xdr:row>
      <xdr:rowOff>161926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1171575" y="375285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2</xdr:col>
      <xdr:colOff>466726</xdr:colOff>
      <xdr:row>17</xdr:row>
      <xdr:rowOff>28575</xdr:rowOff>
    </xdr:from>
    <xdr:to>
      <xdr:col>2</xdr:col>
      <xdr:colOff>733426</xdr:colOff>
      <xdr:row>18</xdr:row>
      <xdr:rowOff>95250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/>
      </xdr:nvSpPr>
      <xdr:spPr>
        <a:xfrm>
          <a:off x="1990726" y="33051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2</xdr:col>
      <xdr:colOff>466725</xdr:colOff>
      <xdr:row>19</xdr:row>
      <xdr:rowOff>104776</xdr:rowOff>
    </xdr:from>
    <xdr:to>
      <xdr:col>2</xdr:col>
      <xdr:colOff>733425</xdr:colOff>
      <xdr:row>20</xdr:row>
      <xdr:rowOff>180976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/>
      </xdr:nvSpPr>
      <xdr:spPr>
        <a:xfrm>
          <a:off x="1990725" y="3762376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142876</xdr:colOff>
      <xdr:row>17</xdr:row>
      <xdr:rowOff>104775</xdr:rowOff>
    </xdr:from>
    <xdr:to>
      <xdr:col>4</xdr:col>
      <xdr:colOff>409576</xdr:colOff>
      <xdr:row>18</xdr:row>
      <xdr:rowOff>171450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/>
      </xdr:nvSpPr>
      <xdr:spPr>
        <a:xfrm>
          <a:off x="3190876" y="33813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104775</xdr:colOff>
      <xdr:row>20</xdr:row>
      <xdr:rowOff>1</xdr:rowOff>
    </xdr:from>
    <xdr:to>
      <xdr:col>4</xdr:col>
      <xdr:colOff>371475</xdr:colOff>
      <xdr:row>21</xdr:row>
      <xdr:rowOff>66676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/>
      </xdr:nvSpPr>
      <xdr:spPr>
        <a:xfrm>
          <a:off x="3152775" y="3848101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5</xdr:col>
      <xdr:colOff>619126</xdr:colOff>
      <xdr:row>18</xdr:row>
      <xdr:rowOff>9525</xdr:rowOff>
    </xdr:from>
    <xdr:to>
      <xdr:col>6</xdr:col>
      <xdr:colOff>123826</xdr:colOff>
      <xdr:row>19</xdr:row>
      <xdr:rowOff>76200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4429126" y="347662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5</xdr:col>
      <xdr:colOff>542925</xdr:colOff>
      <xdr:row>20</xdr:row>
      <xdr:rowOff>28576</xdr:rowOff>
    </xdr:from>
    <xdr:to>
      <xdr:col>6</xdr:col>
      <xdr:colOff>47625</xdr:colOff>
      <xdr:row>21</xdr:row>
      <xdr:rowOff>95251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4352925" y="3876676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581026</xdr:colOff>
      <xdr:row>4</xdr:row>
      <xdr:rowOff>180975</xdr:rowOff>
    </xdr:from>
    <xdr:to>
      <xdr:col>2</xdr:col>
      <xdr:colOff>85726</xdr:colOff>
      <xdr:row>6</xdr:row>
      <xdr:rowOff>57150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1343026" y="942975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561975</xdr:colOff>
      <xdr:row>7</xdr:row>
      <xdr:rowOff>76201</xdr:rowOff>
    </xdr:from>
    <xdr:to>
      <xdr:col>2</xdr:col>
      <xdr:colOff>66675</xdr:colOff>
      <xdr:row>8</xdr:row>
      <xdr:rowOff>142876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1323975" y="141922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2</xdr:col>
      <xdr:colOff>647701</xdr:colOff>
      <xdr:row>5</xdr:row>
      <xdr:rowOff>0</xdr:rowOff>
    </xdr:from>
    <xdr:to>
      <xdr:col>3</xdr:col>
      <xdr:colOff>152401</xdr:colOff>
      <xdr:row>6</xdr:row>
      <xdr:rowOff>66675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2171701" y="96202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2</xdr:col>
      <xdr:colOff>628650</xdr:colOff>
      <xdr:row>7</xdr:row>
      <xdr:rowOff>85726</xdr:rowOff>
    </xdr:from>
    <xdr:to>
      <xdr:col>3</xdr:col>
      <xdr:colOff>133350</xdr:colOff>
      <xdr:row>8</xdr:row>
      <xdr:rowOff>152401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2152650" y="142875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3</xdr:col>
      <xdr:colOff>295276</xdr:colOff>
      <xdr:row>5</xdr:row>
      <xdr:rowOff>9525</xdr:rowOff>
    </xdr:from>
    <xdr:to>
      <xdr:col>3</xdr:col>
      <xdr:colOff>561976</xdr:colOff>
      <xdr:row>6</xdr:row>
      <xdr:rowOff>76200</xdr:rowOff>
    </xdr:to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2581276" y="9715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3</xdr:col>
      <xdr:colOff>276225</xdr:colOff>
      <xdr:row>7</xdr:row>
      <xdr:rowOff>95251</xdr:rowOff>
    </xdr:from>
    <xdr:to>
      <xdr:col>3</xdr:col>
      <xdr:colOff>542925</xdr:colOff>
      <xdr:row>8</xdr:row>
      <xdr:rowOff>161926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2562225" y="143827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4</xdr:col>
      <xdr:colOff>276226</xdr:colOff>
      <xdr:row>5</xdr:row>
      <xdr:rowOff>9525</xdr:rowOff>
    </xdr:from>
    <xdr:to>
      <xdr:col>4</xdr:col>
      <xdr:colOff>542926</xdr:colOff>
      <xdr:row>6</xdr:row>
      <xdr:rowOff>76200</xdr:rowOff>
    </xdr:to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3324226" y="9715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257175</xdr:colOff>
      <xdr:row>7</xdr:row>
      <xdr:rowOff>95251</xdr:rowOff>
    </xdr:from>
    <xdr:to>
      <xdr:col>4</xdr:col>
      <xdr:colOff>523875</xdr:colOff>
      <xdr:row>8</xdr:row>
      <xdr:rowOff>161926</xdr:rowOff>
    </xdr:to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3305175" y="143827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685801</xdr:colOff>
      <xdr:row>5</xdr:row>
      <xdr:rowOff>19050</xdr:rowOff>
    </xdr:from>
    <xdr:to>
      <xdr:col>5</xdr:col>
      <xdr:colOff>190501</xdr:colOff>
      <xdr:row>6</xdr:row>
      <xdr:rowOff>85725</xdr:rowOff>
    </xdr:to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3733801" y="9810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4</xdr:col>
      <xdr:colOff>666750</xdr:colOff>
      <xdr:row>7</xdr:row>
      <xdr:rowOff>104776</xdr:rowOff>
    </xdr:from>
    <xdr:to>
      <xdr:col>5</xdr:col>
      <xdr:colOff>171450</xdr:colOff>
      <xdr:row>8</xdr:row>
      <xdr:rowOff>171451</xdr:rowOff>
    </xdr:to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3714750" y="144780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5</xdr:col>
      <xdr:colOff>733426</xdr:colOff>
      <xdr:row>4</xdr:row>
      <xdr:rowOff>180975</xdr:rowOff>
    </xdr:from>
    <xdr:to>
      <xdr:col>6</xdr:col>
      <xdr:colOff>238126</xdr:colOff>
      <xdr:row>6</xdr:row>
      <xdr:rowOff>57150</xdr:rowOff>
    </xdr:to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4543426" y="942975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5</xdr:col>
      <xdr:colOff>714375</xdr:colOff>
      <xdr:row>7</xdr:row>
      <xdr:rowOff>76201</xdr:rowOff>
    </xdr:from>
    <xdr:to>
      <xdr:col>6</xdr:col>
      <xdr:colOff>219075</xdr:colOff>
      <xdr:row>8</xdr:row>
      <xdr:rowOff>142876</xdr:rowOff>
    </xdr:to>
    <xdr:sp macro="" textlink="">
      <xdr:nvSpPr>
        <xdr:cNvPr id="40" name="39 CuadroTexto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4524375" y="141922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6</xdr:col>
      <xdr:colOff>381001</xdr:colOff>
      <xdr:row>5</xdr:row>
      <xdr:rowOff>0</xdr:rowOff>
    </xdr:from>
    <xdr:to>
      <xdr:col>6</xdr:col>
      <xdr:colOff>647701</xdr:colOff>
      <xdr:row>6</xdr:row>
      <xdr:rowOff>66675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4953001" y="96202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6</xdr:col>
      <xdr:colOff>361950</xdr:colOff>
      <xdr:row>7</xdr:row>
      <xdr:rowOff>85726</xdr:rowOff>
    </xdr:from>
    <xdr:to>
      <xdr:col>6</xdr:col>
      <xdr:colOff>628650</xdr:colOff>
      <xdr:row>8</xdr:row>
      <xdr:rowOff>152401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4933950" y="142875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1</xdr:col>
      <xdr:colOff>133351</xdr:colOff>
      <xdr:row>11</xdr:row>
      <xdr:rowOff>28575</xdr:rowOff>
    </xdr:from>
    <xdr:to>
      <xdr:col>1</xdr:col>
      <xdr:colOff>400051</xdr:colOff>
      <xdr:row>12</xdr:row>
      <xdr:rowOff>95250</xdr:rowOff>
    </xdr:to>
    <xdr:sp macro="" textlink="">
      <xdr:nvSpPr>
        <xdr:cNvPr id="43" name="42 CuadroTexto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895351" y="214312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1</xdr:col>
      <xdr:colOff>114300</xdr:colOff>
      <xdr:row>13</xdr:row>
      <xdr:rowOff>114301</xdr:rowOff>
    </xdr:from>
    <xdr:to>
      <xdr:col>1</xdr:col>
      <xdr:colOff>381000</xdr:colOff>
      <xdr:row>14</xdr:row>
      <xdr:rowOff>180976</xdr:rowOff>
    </xdr:to>
    <xdr:sp macro="" textlink="">
      <xdr:nvSpPr>
        <xdr:cNvPr id="44" name="43 CuadroTexto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876300" y="261937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542926</xdr:colOff>
      <xdr:row>11</xdr:row>
      <xdr:rowOff>38100</xdr:rowOff>
    </xdr:from>
    <xdr:to>
      <xdr:col>2</xdr:col>
      <xdr:colOff>47626</xdr:colOff>
      <xdr:row>12</xdr:row>
      <xdr:rowOff>104775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1304926" y="21526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523875</xdr:colOff>
      <xdr:row>13</xdr:row>
      <xdr:rowOff>123826</xdr:rowOff>
    </xdr:from>
    <xdr:to>
      <xdr:col>2</xdr:col>
      <xdr:colOff>28575</xdr:colOff>
      <xdr:row>14</xdr:row>
      <xdr:rowOff>190501</xdr:rowOff>
    </xdr:to>
    <xdr:sp macro="" textlink="">
      <xdr:nvSpPr>
        <xdr:cNvPr id="46" name="45 CuadroTexto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1285875" y="262890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2</xdr:col>
      <xdr:colOff>609601</xdr:colOff>
      <xdr:row>11</xdr:row>
      <xdr:rowOff>57150</xdr:rowOff>
    </xdr:from>
    <xdr:to>
      <xdr:col>3</xdr:col>
      <xdr:colOff>114301</xdr:colOff>
      <xdr:row>12</xdr:row>
      <xdr:rowOff>123825</xdr:rowOff>
    </xdr:to>
    <xdr:sp macro="" textlink="">
      <xdr:nvSpPr>
        <xdr:cNvPr id="47" name="46 CuadroTexto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2133601" y="217170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2</xdr:col>
      <xdr:colOff>590550</xdr:colOff>
      <xdr:row>13</xdr:row>
      <xdr:rowOff>142876</xdr:rowOff>
    </xdr:from>
    <xdr:to>
      <xdr:col>3</xdr:col>
      <xdr:colOff>95250</xdr:colOff>
      <xdr:row>15</xdr:row>
      <xdr:rowOff>9526</xdr:rowOff>
    </xdr:to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2114550" y="2647951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3</xdr:col>
      <xdr:colOff>257176</xdr:colOff>
      <xdr:row>11</xdr:row>
      <xdr:rowOff>66675</xdr:rowOff>
    </xdr:from>
    <xdr:to>
      <xdr:col>3</xdr:col>
      <xdr:colOff>523876</xdr:colOff>
      <xdr:row>12</xdr:row>
      <xdr:rowOff>133350</xdr:rowOff>
    </xdr:to>
    <xdr:sp macro="" textlink="">
      <xdr:nvSpPr>
        <xdr:cNvPr id="49" name="48 CuadroTexto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2543176" y="218122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3</xdr:col>
      <xdr:colOff>238125</xdr:colOff>
      <xdr:row>13</xdr:row>
      <xdr:rowOff>152401</xdr:rowOff>
    </xdr:from>
    <xdr:to>
      <xdr:col>3</xdr:col>
      <xdr:colOff>504825</xdr:colOff>
      <xdr:row>15</xdr:row>
      <xdr:rowOff>19051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2524125" y="2657476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4</xdr:col>
      <xdr:colOff>285751</xdr:colOff>
      <xdr:row>11</xdr:row>
      <xdr:rowOff>123825</xdr:rowOff>
    </xdr:from>
    <xdr:to>
      <xdr:col>4</xdr:col>
      <xdr:colOff>552451</xdr:colOff>
      <xdr:row>13</xdr:row>
      <xdr:rowOff>0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3333751" y="2238375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266700</xdr:colOff>
      <xdr:row>14</xdr:row>
      <xdr:rowOff>19051</xdr:rowOff>
    </xdr:from>
    <xdr:to>
      <xdr:col>4</xdr:col>
      <xdr:colOff>533400</xdr:colOff>
      <xdr:row>15</xdr:row>
      <xdr:rowOff>76201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3314700" y="2714626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695326</xdr:colOff>
      <xdr:row>11</xdr:row>
      <xdr:rowOff>133350</xdr:rowOff>
    </xdr:from>
    <xdr:to>
      <xdr:col>5</xdr:col>
      <xdr:colOff>200026</xdr:colOff>
      <xdr:row>13</xdr:row>
      <xdr:rowOff>9525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3743326" y="2247900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4</xdr:col>
      <xdr:colOff>676275</xdr:colOff>
      <xdr:row>14</xdr:row>
      <xdr:rowOff>28576</xdr:rowOff>
    </xdr:from>
    <xdr:to>
      <xdr:col>5</xdr:col>
      <xdr:colOff>180975</xdr:colOff>
      <xdr:row>15</xdr:row>
      <xdr:rowOff>85726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3724275" y="2724151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5</xdr:col>
      <xdr:colOff>723901</xdr:colOff>
      <xdr:row>11</xdr:row>
      <xdr:rowOff>123825</xdr:rowOff>
    </xdr:from>
    <xdr:to>
      <xdr:col>6</xdr:col>
      <xdr:colOff>228601</xdr:colOff>
      <xdr:row>13</xdr:row>
      <xdr:rowOff>0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4533901" y="2238375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5</xdr:col>
      <xdr:colOff>704850</xdr:colOff>
      <xdr:row>14</xdr:row>
      <xdr:rowOff>19051</xdr:rowOff>
    </xdr:from>
    <xdr:to>
      <xdr:col>6</xdr:col>
      <xdr:colOff>209550</xdr:colOff>
      <xdr:row>15</xdr:row>
      <xdr:rowOff>76201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4514850" y="2714626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6</xdr:col>
      <xdr:colOff>371476</xdr:colOff>
      <xdr:row>11</xdr:row>
      <xdr:rowOff>133350</xdr:rowOff>
    </xdr:from>
    <xdr:to>
      <xdr:col>6</xdr:col>
      <xdr:colOff>638176</xdr:colOff>
      <xdr:row>13</xdr:row>
      <xdr:rowOff>9525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4943476" y="2247900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6</xdr:col>
      <xdr:colOff>352425</xdr:colOff>
      <xdr:row>14</xdr:row>
      <xdr:rowOff>28576</xdr:rowOff>
    </xdr:from>
    <xdr:to>
      <xdr:col>6</xdr:col>
      <xdr:colOff>619125</xdr:colOff>
      <xdr:row>15</xdr:row>
      <xdr:rowOff>85726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4924425" y="2724151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1</xdr:col>
      <xdr:colOff>152401</xdr:colOff>
      <xdr:row>23</xdr:row>
      <xdr:rowOff>9525</xdr:rowOff>
    </xdr:from>
    <xdr:to>
      <xdr:col>1</xdr:col>
      <xdr:colOff>419101</xdr:colOff>
      <xdr:row>24</xdr:row>
      <xdr:rowOff>76200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914401" y="44386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1</xdr:col>
      <xdr:colOff>133350</xdr:colOff>
      <xdr:row>25</xdr:row>
      <xdr:rowOff>85726</xdr:rowOff>
    </xdr:from>
    <xdr:to>
      <xdr:col>1</xdr:col>
      <xdr:colOff>400050</xdr:colOff>
      <xdr:row>26</xdr:row>
      <xdr:rowOff>152401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895350" y="490537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561976</xdr:colOff>
      <xdr:row>23</xdr:row>
      <xdr:rowOff>19050</xdr:rowOff>
    </xdr:from>
    <xdr:to>
      <xdr:col>2</xdr:col>
      <xdr:colOff>66676</xdr:colOff>
      <xdr:row>24</xdr:row>
      <xdr:rowOff>85725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1323976" y="44481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542925</xdr:colOff>
      <xdr:row>25</xdr:row>
      <xdr:rowOff>95251</xdr:rowOff>
    </xdr:from>
    <xdr:to>
      <xdr:col>2</xdr:col>
      <xdr:colOff>47625</xdr:colOff>
      <xdr:row>26</xdr:row>
      <xdr:rowOff>161926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1304925" y="491490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2</xdr:col>
      <xdr:colOff>552451</xdr:colOff>
      <xdr:row>23</xdr:row>
      <xdr:rowOff>38100</xdr:rowOff>
    </xdr:from>
    <xdr:to>
      <xdr:col>3</xdr:col>
      <xdr:colOff>57151</xdr:colOff>
      <xdr:row>24</xdr:row>
      <xdr:rowOff>104775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2076451" y="446722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2</xdr:col>
      <xdr:colOff>533400</xdr:colOff>
      <xdr:row>25</xdr:row>
      <xdr:rowOff>114301</xdr:rowOff>
    </xdr:from>
    <xdr:to>
      <xdr:col>3</xdr:col>
      <xdr:colOff>38100</xdr:colOff>
      <xdr:row>26</xdr:row>
      <xdr:rowOff>180976</xdr:rowOff>
    </xdr:to>
    <xdr:sp macro="" textlink="">
      <xdr:nvSpPr>
        <xdr:cNvPr id="64" name="63 CuadroTexto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/>
      </xdr:nvSpPr>
      <xdr:spPr>
        <a:xfrm>
          <a:off x="2057400" y="493395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3</xdr:col>
      <xdr:colOff>200026</xdr:colOff>
      <xdr:row>23</xdr:row>
      <xdr:rowOff>47625</xdr:rowOff>
    </xdr:from>
    <xdr:to>
      <xdr:col>3</xdr:col>
      <xdr:colOff>466726</xdr:colOff>
      <xdr:row>24</xdr:row>
      <xdr:rowOff>114300</xdr:rowOff>
    </xdr:to>
    <xdr:sp macro="" textlink="">
      <xdr:nvSpPr>
        <xdr:cNvPr id="65" name="64 CuadroTexto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/>
      </xdr:nvSpPr>
      <xdr:spPr>
        <a:xfrm>
          <a:off x="2486026" y="44767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3</xdr:col>
      <xdr:colOff>180975</xdr:colOff>
      <xdr:row>25</xdr:row>
      <xdr:rowOff>123826</xdr:rowOff>
    </xdr:from>
    <xdr:to>
      <xdr:col>3</xdr:col>
      <xdr:colOff>447675</xdr:colOff>
      <xdr:row>26</xdr:row>
      <xdr:rowOff>190501</xdr:rowOff>
    </xdr:to>
    <xdr:sp macro="" textlink="">
      <xdr:nvSpPr>
        <xdr:cNvPr id="66" name="65 CuadroTexto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/>
      </xdr:nvSpPr>
      <xdr:spPr>
        <a:xfrm>
          <a:off x="2466975" y="494347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4</xdr:col>
      <xdr:colOff>200026</xdr:colOff>
      <xdr:row>23</xdr:row>
      <xdr:rowOff>123825</xdr:rowOff>
    </xdr:from>
    <xdr:to>
      <xdr:col>4</xdr:col>
      <xdr:colOff>466726</xdr:colOff>
      <xdr:row>24</xdr:row>
      <xdr:rowOff>190500</xdr:rowOff>
    </xdr:to>
    <xdr:sp macro="" textlink="">
      <xdr:nvSpPr>
        <xdr:cNvPr id="67" name="66 CuadroTexto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/>
      </xdr:nvSpPr>
      <xdr:spPr>
        <a:xfrm>
          <a:off x="3248026" y="45529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180975</xdr:colOff>
      <xdr:row>26</xdr:row>
      <xdr:rowOff>9526</xdr:rowOff>
    </xdr:from>
    <xdr:to>
      <xdr:col>4</xdr:col>
      <xdr:colOff>447675</xdr:colOff>
      <xdr:row>27</xdr:row>
      <xdr:rowOff>66676</xdr:rowOff>
    </xdr:to>
    <xdr:sp macro="" textlink="">
      <xdr:nvSpPr>
        <xdr:cNvPr id="68" name="67 CuadroTexto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/>
      </xdr:nvSpPr>
      <xdr:spPr>
        <a:xfrm>
          <a:off x="3228975" y="5019676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609601</xdr:colOff>
      <xdr:row>23</xdr:row>
      <xdr:rowOff>133350</xdr:rowOff>
    </xdr:from>
    <xdr:to>
      <xdr:col>5</xdr:col>
      <xdr:colOff>114301</xdr:colOff>
      <xdr:row>25</xdr:row>
      <xdr:rowOff>0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/>
      </xdr:nvSpPr>
      <xdr:spPr>
        <a:xfrm>
          <a:off x="3657601" y="45624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4</xdr:col>
      <xdr:colOff>590550</xdr:colOff>
      <xdr:row>26</xdr:row>
      <xdr:rowOff>19051</xdr:rowOff>
    </xdr:from>
    <xdr:to>
      <xdr:col>5</xdr:col>
      <xdr:colOff>95250</xdr:colOff>
      <xdr:row>27</xdr:row>
      <xdr:rowOff>76201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/>
      </xdr:nvSpPr>
      <xdr:spPr>
        <a:xfrm>
          <a:off x="3638550" y="5029201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5</xdr:col>
      <xdr:colOff>647701</xdr:colOff>
      <xdr:row>23</xdr:row>
      <xdr:rowOff>171450</xdr:rowOff>
    </xdr:from>
    <xdr:to>
      <xdr:col>6</xdr:col>
      <xdr:colOff>152401</xdr:colOff>
      <xdr:row>25</xdr:row>
      <xdr:rowOff>38100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/>
      </xdr:nvSpPr>
      <xdr:spPr>
        <a:xfrm>
          <a:off x="4457701" y="46005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5</xdr:col>
      <xdr:colOff>628650</xdr:colOff>
      <xdr:row>26</xdr:row>
      <xdr:rowOff>57151</xdr:rowOff>
    </xdr:from>
    <xdr:to>
      <xdr:col>6</xdr:col>
      <xdr:colOff>133350</xdr:colOff>
      <xdr:row>27</xdr:row>
      <xdr:rowOff>114301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/>
      </xdr:nvSpPr>
      <xdr:spPr>
        <a:xfrm>
          <a:off x="4438650" y="5067301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6</xdr:col>
      <xdr:colOff>295276</xdr:colOff>
      <xdr:row>23</xdr:row>
      <xdr:rowOff>180975</xdr:rowOff>
    </xdr:from>
    <xdr:to>
      <xdr:col>6</xdr:col>
      <xdr:colOff>561976</xdr:colOff>
      <xdr:row>25</xdr:row>
      <xdr:rowOff>47625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/>
      </xdr:nvSpPr>
      <xdr:spPr>
        <a:xfrm>
          <a:off x="4867276" y="461010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6</xdr:col>
      <xdr:colOff>276225</xdr:colOff>
      <xdr:row>26</xdr:row>
      <xdr:rowOff>66676</xdr:rowOff>
    </xdr:from>
    <xdr:to>
      <xdr:col>6</xdr:col>
      <xdr:colOff>542925</xdr:colOff>
      <xdr:row>27</xdr:row>
      <xdr:rowOff>123826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/>
      </xdr:nvSpPr>
      <xdr:spPr>
        <a:xfrm>
          <a:off x="4848225" y="5076826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0</xdr:col>
      <xdr:colOff>628650</xdr:colOff>
      <xdr:row>29</xdr:row>
      <xdr:rowOff>180975</xdr:rowOff>
    </xdr:from>
    <xdr:to>
      <xdr:col>2</xdr:col>
      <xdr:colOff>28575</xdr:colOff>
      <xdr:row>34</xdr:row>
      <xdr:rowOff>161925</xdr:rowOff>
    </xdr:to>
    <xdr:sp macro="" textlink="">
      <xdr:nvSpPr>
        <xdr:cNvPr id="75" name="74 Elipse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628650" y="5772150"/>
          <a:ext cx="923925" cy="9429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17</a:t>
          </a:r>
        </a:p>
      </xdr:txBody>
    </xdr:sp>
    <xdr:clientData/>
  </xdr:twoCellAnchor>
  <xdr:twoCellAnchor>
    <xdr:from>
      <xdr:col>2</xdr:col>
      <xdr:colOff>485775</xdr:colOff>
      <xdr:row>30</xdr:row>
      <xdr:rowOff>0</xdr:rowOff>
    </xdr:from>
    <xdr:to>
      <xdr:col>3</xdr:col>
      <xdr:colOff>647700</xdr:colOff>
      <xdr:row>34</xdr:row>
      <xdr:rowOff>171450</xdr:rowOff>
    </xdr:to>
    <xdr:sp macro="" textlink="">
      <xdr:nvSpPr>
        <xdr:cNvPr id="76" name="75 Elipse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2009775" y="5781675"/>
          <a:ext cx="923925" cy="9429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18</a:t>
          </a:r>
        </a:p>
      </xdr:txBody>
    </xdr:sp>
    <xdr:clientData/>
  </xdr:twoCellAnchor>
  <xdr:twoCellAnchor>
    <xdr:from>
      <xdr:col>4</xdr:col>
      <xdr:colOff>114300</xdr:colOff>
      <xdr:row>29</xdr:row>
      <xdr:rowOff>180975</xdr:rowOff>
    </xdr:from>
    <xdr:to>
      <xdr:col>5</xdr:col>
      <xdr:colOff>276225</xdr:colOff>
      <xdr:row>34</xdr:row>
      <xdr:rowOff>161925</xdr:rowOff>
    </xdr:to>
    <xdr:sp macro="" textlink="">
      <xdr:nvSpPr>
        <xdr:cNvPr id="77" name="76 Elipse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3162300" y="5772150"/>
          <a:ext cx="923925" cy="9429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19</a:t>
          </a:r>
        </a:p>
      </xdr:txBody>
    </xdr:sp>
    <xdr:clientData/>
  </xdr:twoCellAnchor>
  <xdr:twoCellAnchor>
    <xdr:from>
      <xdr:col>5</xdr:col>
      <xdr:colOff>657225</xdr:colOff>
      <xdr:row>30</xdr:row>
      <xdr:rowOff>19050</xdr:rowOff>
    </xdr:from>
    <xdr:to>
      <xdr:col>7</xdr:col>
      <xdr:colOff>57150</xdr:colOff>
      <xdr:row>34</xdr:row>
      <xdr:rowOff>190500</xdr:rowOff>
    </xdr:to>
    <xdr:sp macro="" textlink="">
      <xdr:nvSpPr>
        <xdr:cNvPr id="78" name="77 Elipse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4467225" y="5800725"/>
          <a:ext cx="923925" cy="9429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20</a:t>
          </a:r>
        </a:p>
      </xdr:txBody>
    </xdr:sp>
    <xdr:clientData/>
  </xdr:twoCellAnchor>
  <xdr:twoCellAnchor>
    <xdr:from>
      <xdr:col>1</xdr:col>
      <xdr:colOff>419101</xdr:colOff>
      <xdr:row>30</xdr:row>
      <xdr:rowOff>57150</xdr:rowOff>
    </xdr:from>
    <xdr:to>
      <xdr:col>1</xdr:col>
      <xdr:colOff>685801</xdr:colOff>
      <xdr:row>31</xdr:row>
      <xdr:rowOff>114300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/>
      </xdr:nvSpPr>
      <xdr:spPr>
        <a:xfrm>
          <a:off x="1181101" y="5838825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1</xdr:col>
      <xdr:colOff>381000</xdr:colOff>
      <xdr:row>32</xdr:row>
      <xdr:rowOff>180976</xdr:rowOff>
    </xdr:from>
    <xdr:to>
      <xdr:col>1</xdr:col>
      <xdr:colOff>647700</xdr:colOff>
      <xdr:row>34</xdr:row>
      <xdr:rowOff>47626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/>
      </xdr:nvSpPr>
      <xdr:spPr>
        <a:xfrm>
          <a:off x="1143000" y="634365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3</xdr:col>
      <xdr:colOff>257176</xdr:colOff>
      <xdr:row>30</xdr:row>
      <xdr:rowOff>114300</xdr:rowOff>
    </xdr:from>
    <xdr:to>
      <xdr:col>3</xdr:col>
      <xdr:colOff>523876</xdr:colOff>
      <xdr:row>31</xdr:row>
      <xdr:rowOff>171450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/>
      </xdr:nvSpPr>
      <xdr:spPr>
        <a:xfrm>
          <a:off x="2543176" y="5895975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3</xdr:col>
      <xdr:colOff>247650</xdr:colOff>
      <xdr:row>32</xdr:row>
      <xdr:rowOff>152401</xdr:rowOff>
    </xdr:from>
    <xdr:to>
      <xdr:col>3</xdr:col>
      <xdr:colOff>514350</xdr:colOff>
      <xdr:row>34</xdr:row>
      <xdr:rowOff>19051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/>
      </xdr:nvSpPr>
      <xdr:spPr>
        <a:xfrm>
          <a:off x="2533650" y="631507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4</xdr:col>
      <xdr:colOff>676276</xdr:colOff>
      <xdr:row>30</xdr:row>
      <xdr:rowOff>123825</xdr:rowOff>
    </xdr:from>
    <xdr:to>
      <xdr:col>5</xdr:col>
      <xdr:colOff>180976</xdr:colOff>
      <xdr:row>31</xdr:row>
      <xdr:rowOff>180975</xdr:rowOff>
    </xdr:to>
    <xdr:sp macro="" textlink="">
      <xdr:nvSpPr>
        <xdr:cNvPr id="83" name="82 CuadroTexto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/>
      </xdr:nvSpPr>
      <xdr:spPr>
        <a:xfrm>
          <a:off x="3724276" y="5905500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4</xdr:col>
      <xdr:colOff>666750</xdr:colOff>
      <xdr:row>32</xdr:row>
      <xdr:rowOff>180976</xdr:rowOff>
    </xdr:from>
    <xdr:to>
      <xdr:col>5</xdr:col>
      <xdr:colOff>171450</xdr:colOff>
      <xdr:row>34</xdr:row>
      <xdr:rowOff>47626</xdr:rowOff>
    </xdr:to>
    <xdr:sp macro="" textlink="">
      <xdr:nvSpPr>
        <xdr:cNvPr id="84" name="83 CuadroTexto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/>
      </xdr:nvSpPr>
      <xdr:spPr>
        <a:xfrm>
          <a:off x="3714750" y="634365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6</xdr:col>
      <xdr:colOff>419101</xdr:colOff>
      <xdr:row>30</xdr:row>
      <xdr:rowOff>95250</xdr:rowOff>
    </xdr:from>
    <xdr:to>
      <xdr:col>6</xdr:col>
      <xdr:colOff>685801</xdr:colOff>
      <xdr:row>31</xdr:row>
      <xdr:rowOff>152400</xdr:rowOff>
    </xdr:to>
    <xdr:sp macro="" textlink="">
      <xdr:nvSpPr>
        <xdr:cNvPr id="85" name="84 CuadroTexto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/>
      </xdr:nvSpPr>
      <xdr:spPr>
        <a:xfrm>
          <a:off x="4991101" y="5876925"/>
          <a:ext cx="266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5</xdr:col>
      <xdr:colOff>704850</xdr:colOff>
      <xdr:row>33</xdr:row>
      <xdr:rowOff>9526</xdr:rowOff>
    </xdr:from>
    <xdr:to>
      <xdr:col>6</xdr:col>
      <xdr:colOff>209550</xdr:colOff>
      <xdr:row>34</xdr:row>
      <xdr:rowOff>76201</xdr:rowOff>
    </xdr:to>
    <xdr:sp macro="" textlink="">
      <xdr:nvSpPr>
        <xdr:cNvPr id="86" name="85 CuadroTexto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/>
      </xdr:nvSpPr>
      <xdr:spPr>
        <a:xfrm>
          <a:off x="4514850" y="6372226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28575</xdr:colOff>
      <xdr:row>19</xdr:row>
      <xdr:rowOff>76201</xdr:rowOff>
    </xdr:from>
    <xdr:to>
      <xdr:col>1</xdr:col>
      <xdr:colOff>295275</xdr:colOff>
      <xdr:row>20</xdr:row>
      <xdr:rowOff>142876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/>
      </xdr:nvSpPr>
      <xdr:spPr>
        <a:xfrm>
          <a:off x="790575" y="3733801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1</xdr:col>
      <xdr:colOff>466727</xdr:colOff>
      <xdr:row>17</xdr:row>
      <xdr:rowOff>66673</xdr:rowOff>
    </xdr:from>
    <xdr:to>
      <xdr:col>1</xdr:col>
      <xdr:colOff>733427</xdr:colOff>
      <xdr:row>18</xdr:row>
      <xdr:rowOff>133348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/>
      </xdr:nvSpPr>
      <xdr:spPr>
        <a:xfrm>
          <a:off x="1228727" y="3343273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 editAs="oneCell">
    <xdr:from>
      <xdr:col>3</xdr:col>
      <xdr:colOff>209550</xdr:colOff>
      <xdr:row>17</xdr:row>
      <xdr:rowOff>19050</xdr:rowOff>
    </xdr:from>
    <xdr:to>
      <xdr:col>3</xdr:col>
      <xdr:colOff>477797</xdr:colOff>
      <xdr:row>18</xdr:row>
      <xdr:rowOff>66315</xdr:rowOff>
    </xdr:to>
    <xdr:pic>
      <xdr:nvPicPr>
        <xdr:cNvPr id="90" name="89 Imagen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95550" y="3295650"/>
          <a:ext cx="268247" cy="237765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17</xdr:row>
      <xdr:rowOff>19050</xdr:rowOff>
    </xdr:from>
    <xdr:to>
      <xdr:col>3</xdr:col>
      <xdr:colOff>476250</xdr:colOff>
      <xdr:row>18</xdr:row>
      <xdr:rowOff>85725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/>
      </xdr:nvSpPr>
      <xdr:spPr>
        <a:xfrm>
          <a:off x="2495550" y="32956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3</xdr:col>
      <xdr:colOff>219075</xdr:colOff>
      <xdr:row>19</xdr:row>
      <xdr:rowOff>114300</xdr:rowOff>
    </xdr:from>
    <xdr:to>
      <xdr:col>3</xdr:col>
      <xdr:colOff>485775</xdr:colOff>
      <xdr:row>20</xdr:row>
      <xdr:rowOff>180975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/>
      </xdr:nvSpPr>
      <xdr:spPr>
        <a:xfrm>
          <a:off x="2505075" y="377190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4</xdr:col>
      <xdr:colOff>619125</xdr:colOff>
      <xdr:row>17</xdr:row>
      <xdr:rowOff>85725</xdr:rowOff>
    </xdr:from>
    <xdr:to>
      <xdr:col>5</xdr:col>
      <xdr:colOff>123825</xdr:colOff>
      <xdr:row>18</xdr:row>
      <xdr:rowOff>152400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/>
      </xdr:nvSpPr>
      <xdr:spPr>
        <a:xfrm>
          <a:off x="3667125" y="336232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  <xdr:twoCellAnchor>
    <xdr:from>
      <xdr:col>4</xdr:col>
      <xdr:colOff>609600</xdr:colOff>
      <xdr:row>19</xdr:row>
      <xdr:rowOff>180975</xdr:rowOff>
    </xdr:from>
    <xdr:to>
      <xdr:col>5</xdr:col>
      <xdr:colOff>114300</xdr:colOff>
      <xdr:row>21</xdr:row>
      <xdr:rowOff>57150</xdr:rowOff>
    </xdr:to>
    <xdr:sp macro="" textlink="">
      <xdr:nvSpPr>
        <xdr:cNvPr id="94" name="93 CuadroTexto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/>
      </xdr:nvSpPr>
      <xdr:spPr>
        <a:xfrm>
          <a:off x="3657600" y="3838575"/>
          <a:ext cx="2667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6</xdr:col>
      <xdr:colOff>247650</xdr:colOff>
      <xdr:row>20</xdr:row>
      <xdr:rowOff>47625</xdr:rowOff>
    </xdr:from>
    <xdr:to>
      <xdr:col>6</xdr:col>
      <xdr:colOff>514350</xdr:colOff>
      <xdr:row>21</xdr:row>
      <xdr:rowOff>104775</xdr:rowOff>
    </xdr:to>
    <xdr:sp macro="" textlink="">
      <xdr:nvSpPr>
        <xdr:cNvPr id="102" name="101 CuadroTexto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/>
      </xdr:nvSpPr>
      <xdr:spPr>
        <a:xfrm>
          <a:off x="4819650" y="389572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0</xdr:col>
      <xdr:colOff>685800</xdr:colOff>
      <xdr:row>30</xdr:row>
      <xdr:rowOff>28575</xdr:rowOff>
    </xdr:from>
    <xdr:to>
      <xdr:col>1</xdr:col>
      <xdr:colOff>190500</xdr:colOff>
      <xdr:row>31</xdr:row>
      <xdr:rowOff>95250</xdr:rowOff>
    </xdr:to>
    <xdr:sp macro="" textlink="">
      <xdr:nvSpPr>
        <xdr:cNvPr id="103" name="102 CuadroTexto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/>
      </xdr:nvSpPr>
      <xdr:spPr>
        <a:xfrm>
          <a:off x="685800" y="58102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0</xdr:col>
      <xdr:colOff>657225</xdr:colOff>
      <xdr:row>32</xdr:row>
      <xdr:rowOff>152400</xdr:rowOff>
    </xdr:from>
    <xdr:to>
      <xdr:col>1</xdr:col>
      <xdr:colOff>161925</xdr:colOff>
      <xdr:row>34</xdr:row>
      <xdr:rowOff>19050</xdr:rowOff>
    </xdr:to>
    <xdr:sp macro="" textlink="">
      <xdr:nvSpPr>
        <xdr:cNvPr id="104" name="103 CuadroTexto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/>
      </xdr:nvSpPr>
      <xdr:spPr>
        <a:xfrm>
          <a:off x="657225" y="63150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2</xdr:col>
      <xdr:colOff>571500</xdr:colOff>
      <xdr:row>30</xdr:row>
      <xdr:rowOff>66675</xdr:rowOff>
    </xdr:from>
    <xdr:to>
      <xdr:col>3</xdr:col>
      <xdr:colOff>76200</xdr:colOff>
      <xdr:row>31</xdr:row>
      <xdr:rowOff>133350</xdr:rowOff>
    </xdr:to>
    <xdr:sp macro="" textlink="">
      <xdr:nvSpPr>
        <xdr:cNvPr id="105" name="104 CuadroTexto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/>
      </xdr:nvSpPr>
      <xdr:spPr>
        <a:xfrm>
          <a:off x="2095500" y="58483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2</xdr:col>
      <xdr:colOff>542925</xdr:colOff>
      <xdr:row>32</xdr:row>
      <xdr:rowOff>161925</xdr:rowOff>
    </xdr:from>
    <xdr:to>
      <xdr:col>3</xdr:col>
      <xdr:colOff>47625</xdr:colOff>
      <xdr:row>34</xdr:row>
      <xdr:rowOff>28575</xdr:rowOff>
    </xdr:to>
    <xdr:sp macro="" textlink="">
      <xdr:nvSpPr>
        <xdr:cNvPr id="106" name="105 CuadroTexto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/>
      </xdr:nvSpPr>
      <xdr:spPr>
        <a:xfrm>
          <a:off x="2066925" y="632460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4</xdr:col>
      <xdr:colOff>228600</xdr:colOff>
      <xdr:row>30</xdr:row>
      <xdr:rowOff>152400</xdr:rowOff>
    </xdr:from>
    <xdr:to>
      <xdr:col>4</xdr:col>
      <xdr:colOff>495300</xdr:colOff>
      <xdr:row>32</xdr:row>
      <xdr:rowOff>28575</xdr:rowOff>
    </xdr:to>
    <xdr:sp macro="" textlink="">
      <xdr:nvSpPr>
        <xdr:cNvPr id="107" name="106 CuadroTexto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/>
      </xdr:nvSpPr>
      <xdr:spPr>
        <a:xfrm>
          <a:off x="3276600" y="5934075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4</xdr:col>
      <xdr:colOff>200025</xdr:colOff>
      <xdr:row>32</xdr:row>
      <xdr:rowOff>180975</xdr:rowOff>
    </xdr:from>
    <xdr:to>
      <xdr:col>4</xdr:col>
      <xdr:colOff>466725</xdr:colOff>
      <xdr:row>34</xdr:row>
      <xdr:rowOff>47625</xdr:rowOff>
    </xdr:to>
    <xdr:sp macro="" textlink="">
      <xdr:nvSpPr>
        <xdr:cNvPr id="108" name="107 CuadroTexto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/>
      </xdr:nvSpPr>
      <xdr:spPr>
        <a:xfrm>
          <a:off x="3248025" y="63436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b</a:t>
          </a:r>
        </a:p>
      </xdr:txBody>
    </xdr:sp>
    <xdr:clientData/>
  </xdr:twoCellAnchor>
  <xdr:twoCellAnchor>
    <xdr:from>
      <xdr:col>5</xdr:col>
      <xdr:colOff>733425</xdr:colOff>
      <xdr:row>30</xdr:row>
      <xdr:rowOff>85725</xdr:rowOff>
    </xdr:from>
    <xdr:to>
      <xdr:col>6</xdr:col>
      <xdr:colOff>238125</xdr:colOff>
      <xdr:row>31</xdr:row>
      <xdr:rowOff>152400</xdr:rowOff>
    </xdr:to>
    <xdr:sp macro="" textlink="">
      <xdr:nvSpPr>
        <xdr:cNvPr id="109" name="108 CuadroTexto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/>
      </xdr:nvSpPr>
      <xdr:spPr>
        <a:xfrm>
          <a:off x="4543425" y="586740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a</a:t>
          </a:r>
        </a:p>
      </xdr:txBody>
    </xdr:sp>
    <xdr:clientData/>
  </xdr:twoCellAnchor>
  <xdr:twoCellAnchor>
    <xdr:from>
      <xdr:col>6</xdr:col>
      <xdr:colOff>400050</xdr:colOff>
      <xdr:row>33</xdr:row>
      <xdr:rowOff>19050</xdr:rowOff>
    </xdr:from>
    <xdr:to>
      <xdr:col>6</xdr:col>
      <xdr:colOff>666750</xdr:colOff>
      <xdr:row>34</xdr:row>
      <xdr:rowOff>85725</xdr:rowOff>
    </xdr:to>
    <xdr:sp macro="" textlink="">
      <xdr:nvSpPr>
        <xdr:cNvPr id="110" name="109 CuadroTexto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/>
      </xdr:nvSpPr>
      <xdr:spPr>
        <a:xfrm>
          <a:off x="4972050" y="63817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D</a:t>
          </a:r>
        </a:p>
      </xdr:txBody>
    </xdr:sp>
    <xdr:clientData/>
  </xdr:twoCellAnchor>
  <xdr:twoCellAnchor>
    <xdr:from>
      <xdr:col>6</xdr:col>
      <xdr:colOff>276225</xdr:colOff>
      <xdr:row>17</xdr:row>
      <xdr:rowOff>171450</xdr:rowOff>
    </xdr:from>
    <xdr:to>
      <xdr:col>6</xdr:col>
      <xdr:colOff>542925</xdr:colOff>
      <xdr:row>19</xdr:row>
      <xdr:rowOff>47625</xdr:rowOff>
    </xdr:to>
    <xdr:sp macro="" textlink="">
      <xdr:nvSpPr>
        <xdr:cNvPr id="111" name="110 CuadroTexto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/>
      </xdr:nvSpPr>
      <xdr:spPr>
        <a:xfrm>
          <a:off x="4848225" y="3448050"/>
          <a:ext cx="266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100"/>
            <a:t>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342901</xdr:colOff>
      <xdr:row>1</xdr:row>
      <xdr:rowOff>131672</xdr:rowOff>
    </xdr:from>
    <xdr:to>
      <xdr:col>4</xdr:col>
      <xdr:colOff>409575</xdr:colOff>
      <xdr:row>9</xdr:row>
      <xdr:rowOff>3194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66901" y="322172"/>
          <a:ext cx="1866899" cy="139552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AppData/Roaming/Configuraci&#243;n%20local/AppData/Local/Microsoft/Windows/Temporary%20Internet%20Files/AppData/Roaming/Microsoft/Excel/hatchery/hatbose.xlsx" TargetMode="External"/><Relationship Id="rId13" Type="http://schemas.openxmlformats.org/officeDocument/2006/relationships/hyperlink" Target="../AppData/Roaming/Configuraci&#243;n%20local/AppData/Local/Microsoft/Windows/Temporary%20Internet%20Files/AppData/Roaming/Microsoft/Excel/hatchery/hatelec.xlsx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..\AppData\Roaming\Configuraci&#243;n%20local\AppData\Local\Microsoft\Windows\Temporary%20Internet%20Files\AppData\Roaming\Microsoft\Excel\hatchery\hatbc1.xlsx" TargetMode="External"/><Relationship Id="rId7" Type="http://schemas.openxmlformats.org/officeDocument/2006/relationships/hyperlink" Target="../AppData/Roaming/Configuraci&#243;n%20local/AppData/Local/Microsoft/Windows/Temporary%20Internet%20Files/AppData/Roaming/Microsoft/Excel/hatchery/hatbb.xlsx" TargetMode="External"/><Relationship Id="rId12" Type="http://schemas.openxmlformats.org/officeDocument/2006/relationships/hyperlink" Target="../AppData/Roaming/Configuraci&#243;n%20local/AppData/Local/Microsoft/Windows/Temporary%20Internet%20Files/AppData/Roaming/Microsoft/Excel/hatchery/hatins.xlsx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../AppData/Roaming/Configuraci&#243;n%20local/AppData/Local/Microsoft/Windows/Temporary%20Internet%20Files/AppData/Roaming/Microsoft/Excel/hatchery/hatbp2.xlsx" TargetMode="External"/><Relationship Id="rId16" Type="http://schemas.openxmlformats.org/officeDocument/2006/relationships/hyperlink" Target="../AppData/Roaming/Configuraci&#243;n%20local/AppData/Local/Microsoft/Windows/Temporary%20Internet%20Files/AppData/Roaming/Microsoft/Excel/hatchery/hatfuv.xlsx" TargetMode="External"/><Relationship Id="rId1" Type="http://schemas.openxmlformats.org/officeDocument/2006/relationships/hyperlink" Target="../AppData/Roaming/Configuraci&#243;n%20local/AppData/Local/Microsoft/Windows/Temporary%20Internet%20Files/AppData/Roaming/Microsoft/Excel/hatchery/hatbp1.xlsx" TargetMode="External"/><Relationship Id="rId6" Type="http://schemas.openxmlformats.org/officeDocument/2006/relationships/hyperlink" Target="../AppData/Roaming/Configuraci&#243;n%20local/AppData/Local/Microsoft/Windows/Temporary%20Internet%20Files/AppData/Roaming/Microsoft/Excel/hatchery/hatcom.xlsx" TargetMode="External"/><Relationship Id="rId11" Type="http://schemas.openxmlformats.org/officeDocument/2006/relationships/hyperlink" Target="../AppData/Roaming/Configuraci&#243;n%20local/AppData/Local/Microsoft/Windows/Temporary%20Internet%20Files/AppData/Roaming/Microsoft/Excel/hatchery/hatvlt2.xlsx" TargetMode="External"/><Relationship Id="rId5" Type="http://schemas.openxmlformats.org/officeDocument/2006/relationships/hyperlink" Target="../AppData/Roaming/Configuraci&#243;n%20local/AppData/Local/Microsoft/Windows/Temporary%20Internet%20Files/AppData/Roaming/Microsoft/Excel/hatchery/hatfta.xlsx" TargetMode="External"/><Relationship Id="rId15" Type="http://schemas.openxmlformats.org/officeDocument/2006/relationships/hyperlink" Target="../AppData/Roaming/Configuraci&#243;n%20local/AppData/Local/Microsoft/Windows/Temporary%20Internet%20Files/AppData/Roaming/Microsoft/Excel/hatchery/hatbFTR.xlsx" TargetMode="External"/><Relationship Id="rId10" Type="http://schemas.openxmlformats.org/officeDocument/2006/relationships/hyperlink" Target="../AppData/Roaming/Configuraci&#243;n%20local/AppData/Local/Microsoft/Windows/Temporary%20Internet%20Files/AppData/Roaming/Microsoft/Excel/hatchery/hatvlt1.xlsx" TargetMode="External"/><Relationship Id="rId4" Type="http://schemas.openxmlformats.org/officeDocument/2006/relationships/hyperlink" Target="../AppData/Roaming/Configuraci&#243;n%20local/AppData/Local/Microsoft/Windows/Temporary%20Internet%20Files/AppData/Roaming/Microsoft/Excel/hatchery/hatbc2.xlsx" TargetMode="External"/><Relationship Id="rId9" Type="http://schemas.openxmlformats.org/officeDocument/2006/relationships/hyperlink" Target="../AppData/Roaming/Configuraci&#243;n%20local/AppData/Local/Microsoft/Windows/Temporary%20Internet%20Files/AppData/Roaming/Microsoft/Excel/hatchery/hatvaf.xlsx" TargetMode="External"/><Relationship Id="rId14" Type="http://schemas.openxmlformats.org/officeDocument/2006/relationships/hyperlink" Target="..\AppData\Roaming\Configuraci&#243;n%20local\AppData\Local\Microsoft\Windows\Temporary%20Internet%20Files\AppData\Roaming\Microsoft\Excel\hatchery\hatmf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C46"/>
  <sheetViews>
    <sheetView showGridLines="0" zoomScale="80" zoomScaleNormal="80" workbookViewId="0">
      <pane xSplit="3" topLeftCell="X1" activePane="topRight" state="frozen"/>
      <selection pane="topRight" activeCell="AB18" sqref="AB18"/>
    </sheetView>
  </sheetViews>
  <sheetFormatPr baseColWidth="10" defaultRowHeight="15" x14ac:dyDescent="0.25"/>
  <cols>
    <col min="1" max="1" width="8" style="1" customWidth="1"/>
    <col min="2" max="2" width="18.85546875" style="3" customWidth="1"/>
    <col min="3" max="3" width="27.28515625" style="573" customWidth="1"/>
    <col min="4" max="4" width="16.42578125" style="1" customWidth="1"/>
    <col min="5" max="5" width="16.28515625" style="1" customWidth="1"/>
    <col min="6" max="6" width="36.42578125" style="1" customWidth="1"/>
    <col min="7" max="7" width="17.28515625" style="1" customWidth="1"/>
    <col min="8" max="8" width="15.5703125" style="1" customWidth="1"/>
    <col min="9" max="9" width="42.5703125" style="1" customWidth="1"/>
    <col min="10" max="10" width="13.7109375" style="1" customWidth="1"/>
    <col min="11" max="11" width="17" style="1" customWidth="1"/>
    <col min="12" max="12" width="16.28515625" style="1" customWidth="1"/>
    <col min="13" max="13" width="41.5703125" style="1" customWidth="1"/>
    <col min="14" max="14" width="21.140625" style="1" customWidth="1"/>
    <col min="15" max="15" width="26.140625" style="548" customWidth="1"/>
    <col min="16" max="16" width="20" style="548" customWidth="1"/>
    <col min="17" max="17" width="28" style="548" customWidth="1"/>
    <col min="18" max="18" width="22.5703125" style="548" customWidth="1"/>
    <col min="19" max="19" width="23.5703125" style="548" customWidth="1"/>
    <col min="20" max="20" width="18.42578125" style="1" customWidth="1"/>
    <col min="21" max="21" width="25.140625" style="1" customWidth="1"/>
    <col min="22" max="22" width="17.28515625" style="1" customWidth="1"/>
    <col min="23" max="23" width="29.28515625" style="1" customWidth="1"/>
    <col min="24" max="24" width="17" style="1" customWidth="1"/>
    <col min="25" max="25" width="35.7109375" style="1" customWidth="1"/>
    <col min="26" max="26" width="29" style="1" customWidth="1"/>
    <col min="27" max="27" width="34.140625" style="1" customWidth="1"/>
    <col min="28" max="28" width="26.85546875" style="1" customWidth="1"/>
    <col min="29" max="29" width="24" style="1" customWidth="1"/>
    <col min="30" max="16384" width="11.42578125" style="1"/>
  </cols>
  <sheetData>
    <row r="1" spans="1:29" x14ac:dyDescent="0.25">
      <c r="A1" s="747" t="s">
        <v>19</v>
      </c>
      <c r="B1" s="750" t="s">
        <v>15</v>
      </c>
      <c r="C1" s="734" t="s">
        <v>16</v>
      </c>
      <c r="D1" s="744" t="s">
        <v>17</v>
      </c>
      <c r="E1" s="734" t="s">
        <v>18</v>
      </c>
      <c r="F1" s="734" t="s">
        <v>21</v>
      </c>
      <c r="G1" s="734" t="s">
        <v>102</v>
      </c>
      <c r="H1" s="734" t="s">
        <v>22</v>
      </c>
      <c r="I1" s="744" t="s">
        <v>20</v>
      </c>
      <c r="J1" s="734" t="s">
        <v>24</v>
      </c>
      <c r="K1" s="734" t="s">
        <v>214</v>
      </c>
      <c r="L1" s="734" t="s">
        <v>265</v>
      </c>
      <c r="M1" s="734" t="s">
        <v>314</v>
      </c>
      <c r="N1" s="734" t="s">
        <v>1331</v>
      </c>
      <c r="O1" s="737" t="s">
        <v>328</v>
      </c>
      <c r="P1" s="740" t="s">
        <v>1327</v>
      </c>
      <c r="Q1" s="742" t="s">
        <v>328</v>
      </c>
      <c r="R1" s="734" t="s">
        <v>1327</v>
      </c>
      <c r="S1" s="740" t="s">
        <v>328</v>
      </c>
      <c r="T1" s="744" t="s">
        <v>1328</v>
      </c>
      <c r="U1" s="744" t="s">
        <v>328</v>
      </c>
      <c r="V1" s="734" t="s">
        <v>1330</v>
      </c>
      <c r="W1" s="744" t="s">
        <v>328</v>
      </c>
      <c r="X1" s="735" t="s">
        <v>1329</v>
      </c>
      <c r="Y1" s="735" t="s">
        <v>314</v>
      </c>
      <c r="Z1" s="735" t="s">
        <v>1329</v>
      </c>
      <c r="AA1" s="735" t="s">
        <v>314</v>
      </c>
      <c r="AB1" s="735" t="s">
        <v>1424</v>
      </c>
      <c r="AC1" s="735" t="s">
        <v>314</v>
      </c>
    </row>
    <row r="2" spans="1:29" x14ac:dyDescent="0.25">
      <c r="A2" s="748"/>
      <c r="B2" s="751"/>
      <c r="C2" s="735"/>
      <c r="D2" s="745"/>
      <c r="E2" s="735"/>
      <c r="F2" s="735"/>
      <c r="G2" s="735"/>
      <c r="H2" s="735"/>
      <c r="I2" s="745"/>
      <c r="J2" s="735"/>
      <c r="K2" s="735"/>
      <c r="L2" s="735"/>
      <c r="M2" s="735"/>
      <c r="N2" s="735"/>
      <c r="O2" s="738"/>
      <c r="P2" s="740"/>
      <c r="Q2" s="742"/>
      <c r="R2" s="735"/>
      <c r="S2" s="740"/>
      <c r="T2" s="745"/>
      <c r="U2" s="745"/>
      <c r="V2" s="735"/>
      <c r="W2" s="745"/>
      <c r="X2" s="735"/>
      <c r="Y2" s="735"/>
      <c r="Z2" s="735"/>
      <c r="AA2" s="735"/>
      <c r="AB2" s="735"/>
      <c r="AC2" s="735"/>
    </row>
    <row r="3" spans="1:29" ht="15.75" thickBot="1" x14ac:dyDescent="0.3">
      <c r="A3" s="749"/>
      <c r="B3" s="752"/>
      <c r="C3" s="736"/>
      <c r="D3" s="746"/>
      <c r="E3" s="736"/>
      <c r="F3" s="736"/>
      <c r="G3" s="736"/>
      <c r="H3" s="736"/>
      <c r="I3" s="746"/>
      <c r="J3" s="736"/>
      <c r="K3" s="736"/>
      <c r="L3" s="736"/>
      <c r="M3" s="736"/>
      <c r="N3" s="736"/>
      <c r="O3" s="739"/>
      <c r="P3" s="741"/>
      <c r="Q3" s="743"/>
      <c r="R3" s="736"/>
      <c r="S3" s="741"/>
      <c r="T3" s="746"/>
      <c r="U3" s="746"/>
      <c r="V3" s="736"/>
      <c r="W3" s="746"/>
      <c r="X3" s="736"/>
      <c r="Y3" s="736"/>
      <c r="Z3" s="736"/>
      <c r="AA3" s="736"/>
      <c r="AB3" s="735"/>
      <c r="AC3" s="735"/>
    </row>
    <row r="4" spans="1:29" s="6" customFormat="1" ht="30" x14ac:dyDescent="0.25">
      <c r="A4" s="692">
        <v>1</v>
      </c>
      <c r="B4" s="693" t="s">
        <v>111</v>
      </c>
      <c r="C4" s="405" t="s">
        <v>0</v>
      </c>
      <c r="D4" s="694">
        <v>40165</v>
      </c>
      <c r="E4" s="105">
        <f>D4+416</f>
        <v>40581</v>
      </c>
      <c r="F4" s="100" t="s">
        <v>23</v>
      </c>
      <c r="G4" s="100" t="s">
        <v>103</v>
      </c>
      <c r="H4" s="105">
        <v>40352</v>
      </c>
      <c r="I4" s="695" t="s">
        <v>222</v>
      </c>
      <c r="J4" s="100"/>
      <c r="K4" s="100" t="s">
        <v>311</v>
      </c>
      <c r="L4" s="105">
        <v>40554</v>
      </c>
      <c r="M4" s="100" t="s">
        <v>310</v>
      </c>
      <c r="N4" s="105">
        <v>41057</v>
      </c>
      <c r="O4" s="696" t="s">
        <v>749</v>
      </c>
      <c r="P4" s="105">
        <v>41556</v>
      </c>
      <c r="Q4" s="696" t="s">
        <v>310</v>
      </c>
      <c r="R4" s="100"/>
      <c r="S4" s="100"/>
      <c r="T4" s="694">
        <v>41828</v>
      </c>
      <c r="U4" s="697" t="s">
        <v>1197</v>
      </c>
      <c r="V4" s="698">
        <v>42066</v>
      </c>
      <c r="W4" s="695" t="s">
        <v>1322</v>
      </c>
      <c r="X4" s="699"/>
      <c r="Y4" s="699"/>
      <c r="Z4" s="699"/>
      <c r="AA4" s="700"/>
      <c r="AB4" s="74">
        <v>42458</v>
      </c>
      <c r="AC4" s="97" t="s">
        <v>1363</v>
      </c>
    </row>
    <row r="5" spans="1:29" ht="30" x14ac:dyDescent="0.25">
      <c r="A5" s="556">
        <v>2</v>
      </c>
      <c r="B5" s="568" t="s">
        <v>112</v>
      </c>
      <c r="C5" s="405" t="s">
        <v>1</v>
      </c>
      <c r="D5" s="123">
        <v>40165</v>
      </c>
      <c r="E5" s="76">
        <f>D5+416</f>
        <v>40581</v>
      </c>
      <c r="F5" s="65" t="s">
        <v>23</v>
      </c>
      <c r="G5" s="65" t="s">
        <v>103</v>
      </c>
      <c r="H5" s="76">
        <v>40352</v>
      </c>
      <c r="I5" s="97" t="s">
        <v>222</v>
      </c>
      <c r="J5" s="65"/>
      <c r="K5" s="65" t="s">
        <v>311</v>
      </c>
      <c r="L5" s="76">
        <v>40554</v>
      </c>
      <c r="M5" s="65" t="s">
        <v>310</v>
      </c>
      <c r="N5" s="76">
        <v>41057</v>
      </c>
      <c r="O5" s="574" t="s">
        <v>749</v>
      </c>
      <c r="P5" s="76">
        <v>41556</v>
      </c>
      <c r="Q5" s="574" t="s">
        <v>310</v>
      </c>
      <c r="R5" s="65"/>
      <c r="S5" s="65"/>
      <c r="T5" s="123">
        <v>41827</v>
      </c>
      <c r="U5" s="555" t="s">
        <v>1195</v>
      </c>
      <c r="V5" s="541"/>
      <c r="W5" s="541"/>
      <c r="X5" s="557">
        <v>42272</v>
      </c>
      <c r="Y5" s="97" t="s">
        <v>1363</v>
      </c>
      <c r="Z5" s="541"/>
      <c r="AA5" s="576"/>
      <c r="AB5" s="65"/>
      <c r="AC5" s="97"/>
    </row>
    <row r="6" spans="1:29" s="7" customFormat="1" ht="29.25" customHeight="1" x14ac:dyDescent="0.25">
      <c r="A6" s="556">
        <v>3</v>
      </c>
      <c r="B6" s="568" t="s">
        <v>113</v>
      </c>
      <c r="C6" s="405" t="s">
        <v>2</v>
      </c>
      <c r="D6" s="123">
        <v>40165</v>
      </c>
      <c r="E6" s="76">
        <f>D6+416</f>
        <v>40581</v>
      </c>
      <c r="F6" s="65" t="s">
        <v>23</v>
      </c>
      <c r="G6" s="65" t="s">
        <v>103</v>
      </c>
      <c r="H6" s="76">
        <v>40352</v>
      </c>
      <c r="I6" s="97" t="s">
        <v>222</v>
      </c>
      <c r="J6" s="65"/>
      <c r="K6" s="65" t="s">
        <v>312</v>
      </c>
      <c r="L6" s="76">
        <v>40554</v>
      </c>
      <c r="M6" s="65" t="s">
        <v>310</v>
      </c>
      <c r="N6" s="76">
        <v>41051</v>
      </c>
      <c r="O6" s="574" t="s">
        <v>749</v>
      </c>
      <c r="P6" s="76">
        <v>41555</v>
      </c>
      <c r="Q6" s="574" t="s">
        <v>310</v>
      </c>
      <c r="R6" s="65"/>
      <c r="S6" s="65"/>
      <c r="T6" s="123">
        <v>41829</v>
      </c>
      <c r="U6" s="555" t="s">
        <v>310</v>
      </c>
      <c r="V6" s="541"/>
      <c r="W6" s="541"/>
      <c r="X6" s="557">
        <v>42272</v>
      </c>
      <c r="Y6" s="555" t="s">
        <v>1194</v>
      </c>
      <c r="Z6" s="541"/>
      <c r="AA6" s="576"/>
      <c r="AB6" s="65"/>
      <c r="AC6" s="97"/>
    </row>
    <row r="7" spans="1:29" ht="45" x14ac:dyDescent="0.25">
      <c r="A7" s="556">
        <v>4</v>
      </c>
      <c r="B7" s="568" t="s">
        <v>114</v>
      </c>
      <c r="C7" s="405" t="s">
        <v>3</v>
      </c>
      <c r="D7" s="123">
        <v>40165</v>
      </c>
      <c r="E7" s="76">
        <f>D7+416</f>
        <v>40581</v>
      </c>
      <c r="F7" s="65" t="s">
        <v>23</v>
      </c>
      <c r="G7" s="65" t="s">
        <v>103</v>
      </c>
      <c r="H7" s="76">
        <v>40352</v>
      </c>
      <c r="I7" s="97" t="s">
        <v>222</v>
      </c>
      <c r="J7" s="65"/>
      <c r="K7" s="65" t="s">
        <v>312</v>
      </c>
      <c r="L7" s="76">
        <v>40554</v>
      </c>
      <c r="M7" s="65" t="s">
        <v>310</v>
      </c>
      <c r="N7" s="76">
        <v>41051</v>
      </c>
      <c r="O7" s="574" t="s">
        <v>749</v>
      </c>
      <c r="P7" s="76">
        <v>41556</v>
      </c>
      <c r="Q7" s="574" t="s">
        <v>310</v>
      </c>
      <c r="R7" s="65"/>
      <c r="S7" s="65"/>
      <c r="T7" s="123">
        <v>41827</v>
      </c>
      <c r="U7" s="555" t="s">
        <v>1194</v>
      </c>
      <c r="V7" s="541"/>
      <c r="W7" s="541"/>
      <c r="X7" s="557">
        <v>42272</v>
      </c>
      <c r="Y7" s="555" t="s">
        <v>1194</v>
      </c>
      <c r="Z7" s="541"/>
      <c r="AA7" s="576"/>
      <c r="AB7" s="65"/>
      <c r="AC7" s="97"/>
    </row>
    <row r="8" spans="1:29" ht="30" x14ac:dyDescent="0.25">
      <c r="A8" s="556">
        <v>5</v>
      </c>
      <c r="B8" s="568" t="s">
        <v>115</v>
      </c>
      <c r="C8" s="405" t="s">
        <v>25</v>
      </c>
      <c r="D8" s="123">
        <v>40168</v>
      </c>
      <c r="E8" s="76">
        <f>D8+416</f>
        <v>40584</v>
      </c>
      <c r="F8" s="65" t="s">
        <v>134</v>
      </c>
      <c r="G8" s="65" t="s">
        <v>103</v>
      </c>
      <c r="H8" s="76">
        <v>40352</v>
      </c>
      <c r="I8" s="97" t="s">
        <v>222</v>
      </c>
      <c r="J8" s="65"/>
      <c r="K8" s="65" t="s">
        <v>313</v>
      </c>
      <c r="L8" s="76">
        <v>40554</v>
      </c>
      <c r="M8" s="65" t="s">
        <v>183</v>
      </c>
      <c r="N8" s="76">
        <v>41058</v>
      </c>
      <c r="O8" s="574" t="s">
        <v>749</v>
      </c>
      <c r="P8" s="76">
        <v>41555</v>
      </c>
      <c r="Q8" s="574" t="s">
        <v>310</v>
      </c>
      <c r="R8" s="65"/>
      <c r="S8" s="65"/>
      <c r="T8" s="123">
        <v>41828</v>
      </c>
      <c r="U8" s="555" t="s">
        <v>1196</v>
      </c>
      <c r="V8" s="557">
        <v>41939</v>
      </c>
      <c r="W8" s="97" t="s">
        <v>1207</v>
      </c>
      <c r="X8" s="541"/>
      <c r="Y8" s="541"/>
      <c r="Z8" s="541"/>
      <c r="AA8" s="576"/>
      <c r="AB8" s="65"/>
      <c r="AC8" s="97"/>
    </row>
    <row r="9" spans="1:29" ht="30" x14ac:dyDescent="0.25">
      <c r="A9" s="556">
        <v>6</v>
      </c>
      <c r="B9" s="568"/>
      <c r="C9" s="405" t="s">
        <v>4</v>
      </c>
      <c r="D9" s="123">
        <v>40255</v>
      </c>
      <c r="E9" s="76">
        <f>D9+333</f>
        <v>40588</v>
      </c>
      <c r="F9" s="65" t="s">
        <v>1093</v>
      </c>
      <c r="G9" s="65" t="s">
        <v>103</v>
      </c>
      <c r="H9" s="76">
        <v>40353</v>
      </c>
      <c r="I9" s="97" t="s">
        <v>223</v>
      </c>
      <c r="J9" s="65"/>
      <c r="K9" s="65"/>
      <c r="L9" s="76">
        <v>40704</v>
      </c>
      <c r="M9" s="65" t="s">
        <v>358</v>
      </c>
      <c r="N9" s="76">
        <v>41072</v>
      </c>
      <c r="O9" s="574" t="s">
        <v>758</v>
      </c>
      <c r="P9" s="76">
        <v>41555</v>
      </c>
      <c r="Q9" s="574" t="s">
        <v>1005</v>
      </c>
      <c r="R9" s="65"/>
      <c r="S9" s="65"/>
      <c r="T9" s="123">
        <v>41668</v>
      </c>
      <c r="U9" s="555" t="s">
        <v>1193</v>
      </c>
      <c r="V9" s="541"/>
      <c r="W9" s="541"/>
      <c r="X9" s="557">
        <v>42271</v>
      </c>
      <c r="Y9" s="97" t="s">
        <v>1364</v>
      </c>
      <c r="Z9" s="541"/>
      <c r="AA9" s="576"/>
      <c r="AB9" s="65"/>
      <c r="AC9" s="97"/>
    </row>
    <row r="10" spans="1:29" ht="45" x14ac:dyDescent="0.25">
      <c r="A10" s="556">
        <v>7</v>
      </c>
      <c r="B10" s="568" t="s">
        <v>116</v>
      </c>
      <c r="C10" s="405" t="s">
        <v>5</v>
      </c>
      <c r="D10" s="123">
        <v>39976</v>
      </c>
      <c r="E10" s="76">
        <f>D10+333</f>
        <v>40309</v>
      </c>
      <c r="F10" s="65" t="s">
        <v>258</v>
      </c>
      <c r="G10" s="65" t="s">
        <v>104</v>
      </c>
      <c r="H10" s="76">
        <v>40344</v>
      </c>
      <c r="I10" s="97" t="s">
        <v>223</v>
      </c>
      <c r="J10" s="65"/>
      <c r="K10" s="65"/>
      <c r="L10" s="65"/>
      <c r="M10" s="65"/>
      <c r="N10" s="65"/>
      <c r="O10" s="574"/>
      <c r="P10" s="76">
        <v>41568</v>
      </c>
      <c r="Q10" s="574" t="s">
        <v>1007</v>
      </c>
      <c r="R10" s="65"/>
      <c r="S10" s="65"/>
      <c r="T10" s="123">
        <v>41940</v>
      </c>
      <c r="U10" s="555" t="s">
        <v>1200</v>
      </c>
      <c r="V10" s="541"/>
      <c r="W10" s="541"/>
      <c r="X10" s="557">
        <v>42277</v>
      </c>
      <c r="Y10" s="97" t="s">
        <v>1365</v>
      </c>
      <c r="Z10" s="541"/>
      <c r="AA10" s="576"/>
      <c r="AB10" s="65"/>
      <c r="AC10" s="97"/>
    </row>
    <row r="11" spans="1:29" ht="60" x14ac:dyDescent="0.25">
      <c r="A11" s="556">
        <v>8</v>
      </c>
      <c r="B11" s="568" t="s">
        <v>117</v>
      </c>
      <c r="C11" s="405" t="s">
        <v>26</v>
      </c>
      <c r="D11" s="123">
        <v>40168</v>
      </c>
      <c r="E11" s="76">
        <f>D11+416</f>
        <v>40584</v>
      </c>
      <c r="F11" s="65" t="s">
        <v>226</v>
      </c>
      <c r="G11" s="65" t="s">
        <v>103</v>
      </c>
      <c r="H11" s="65"/>
      <c r="I11" s="97"/>
      <c r="J11" s="65"/>
      <c r="K11" s="65"/>
      <c r="L11" s="65">
        <v>1</v>
      </c>
      <c r="M11" s="65"/>
      <c r="N11" s="76">
        <v>41073</v>
      </c>
      <c r="O11" s="574" t="s">
        <v>759</v>
      </c>
      <c r="P11" s="76">
        <v>41568</v>
      </c>
      <c r="Q11" s="574" t="s">
        <v>1006</v>
      </c>
      <c r="R11" s="65"/>
      <c r="S11" s="65"/>
      <c r="T11" s="123">
        <v>41828</v>
      </c>
      <c r="U11" s="555" t="s">
        <v>1198</v>
      </c>
      <c r="V11" s="557" t="s">
        <v>1202</v>
      </c>
      <c r="W11" s="97" t="s">
        <v>1203</v>
      </c>
      <c r="X11" s="544">
        <v>42277</v>
      </c>
      <c r="Y11" s="541" t="s">
        <v>1366</v>
      </c>
      <c r="Z11" s="541"/>
      <c r="AA11" s="576"/>
      <c r="AB11" s="65"/>
      <c r="AC11" s="97"/>
    </row>
    <row r="12" spans="1:29" ht="30" x14ac:dyDescent="0.25">
      <c r="A12" s="556">
        <v>9</v>
      </c>
      <c r="B12" s="568" t="s">
        <v>118</v>
      </c>
      <c r="C12" s="405" t="s">
        <v>129</v>
      </c>
      <c r="D12" s="123">
        <v>40255</v>
      </c>
      <c r="E12" s="76">
        <f>D12+90</f>
        <v>40345</v>
      </c>
      <c r="F12" s="65" t="s">
        <v>256</v>
      </c>
      <c r="G12" s="65" t="s">
        <v>103</v>
      </c>
      <c r="H12" s="76">
        <v>40366</v>
      </c>
      <c r="I12" s="97" t="s">
        <v>234</v>
      </c>
      <c r="J12" s="65"/>
      <c r="K12" s="65"/>
      <c r="L12" s="76">
        <v>40637</v>
      </c>
      <c r="M12" s="65" t="s">
        <v>335</v>
      </c>
      <c r="N12" s="76">
        <v>40638</v>
      </c>
      <c r="O12" s="574" t="s">
        <v>338</v>
      </c>
      <c r="P12" s="76">
        <v>40889</v>
      </c>
      <c r="Q12" s="574" t="s">
        <v>760</v>
      </c>
      <c r="R12" s="76"/>
      <c r="S12" s="65"/>
      <c r="T12" s="97"/>
      <c r="U12" s="555"/>
      <c r="V12" s="557">
        <v>42137</v>
      </c>
      <c r="W12" s="97" t="s">
        <v>1384</v>
      </c>
      <c r="X12" s="544">
        <v>42205</v>
      </c>
      <c r="Y12" s="541" t="s">
        <v>1362</v>
      </c>
      <c r="Z12" s="544">
        <v>42205</v>
      </c>
      <c r="AA12" s="576" t="s">
        <v>1399</v>
      </c>
      <c r="AB12" s="65"/>
      <c r="AC12" s="97"/>
    </row>
    <row r="13" spans="1:29" x14ac:dyDescent="0.25">
      <c r="A13" s="556">
        <v>10</v>
      </c>
      <c r="B13" s="568" t="s">
        <v>119</v>
      </c>
      <c r="C13" s="405" t="s">
        <v>7</v>
      </c>
      <c r="D13" s="123">
        <v>40350</v>
      </c>
      <c r="E13" s="76">
        <f t="shared" ref="E13:E22" si="0">D13+90</f>
        <v>40440</v>
      </c>
      <c r="F13" s="65" t="s">
        <v>227</v>
      </c>
      <c r="G13" s="65"/>
      <c r="H13" s="65"/>
      <c r="I13" s="97"/>
      <c r="J13" s="65"/>
      <c r="K13" s="65"/>
      <c r="L13" s="65"/>
      <c r="M13" s="65"/>
      <c r="N13" s="65"/>
      <c r="O13" s="574"/>
      <c r="P13" s="76">
        <v>41500</v>
      </c>
      <c r="Q13" s="574" t="s">
        <v>1005</v>
      </c>
      <c r="R13" s="65"/>
      <c r="S13" s="65"/>
      <c r="T13" s="97"/>
      <c r="U13" s="555"/>
      <c r="V13" s="556"/>
      <c r="W13" s="97"/>
      <c r="X13" s="544">
        <v>42137</v>
      </c>
      <c r="Y13" s="541" t="s">
        <v>1386</v>
      </c>
      <c r="Z13" s="541"/>
      <c r="AA13" s="576"/>
      <c r="AB13" s="65"/>
      <c r="AC13" s="97"/>
    </row>
    <row r="14" spans="1:29" x14ac:dyDescent="0.25">
      <c r="A14" s="556">
        <v>11</v>
      </c>
      <c r="B14" s="568" t="s">
        <v>120</v>
      </c>
      <c r="C14" s="56" t="s">
        <v>8</v>
      </c>
      <c r="D14" s="123">
        <v>40350</v>
      </c>
      <c r="E14" s="76">
        <f t="shared" si="0"/>
        <v>40440</v>
      </c>
      <c r="F14" s="65" t="s">
        <v>227</v>
      </c>
      <c r="G14" s="65"/>
      <c r="H14" s="65"/>
      <c r="I14" s="97"/>
      <c r="J14" s="65"/>
      <c r="K14" s="65"/>
      <c r="L14" s="65"/>
      <c r="M14" s="65"/>
      <c r="N14" s="76">
        <v>41064</v>
      </c>
      <c r="O14" s="574" t="s">
        <v>713</v>
      </c>
      <c r="P14" s="76">
        <v>41500</v>
      </c>
      <c r="Q14" s="574" t="s">
        <v>1005</v>
      </c>
      <c r="R14" s="65"/>
      <c r="S14" s="65"/>
      <c r="T14" s="97"/>
      <c r="U14" s="555"/>
      <c r="V14" s="556"/>
      <c r="W14" s="97"/>
      <c r="X14" s="541"/>
      <c r="Y14" s="541"/>
      <c r="Z14" s="541"/>
      <c r="AA14" s="576"/>
      <c r="AB14" s="65"/>
      <c r="AC14" s="97"/>
    </row>
    <row r="15" spans="1:29" ht="30" x14ac:dyDescent="0.25">
      <c r="A15" s="556">
        <v>12</v>
      </c>
      <c r="B15" s="568" t="s">
        <v>121</v>
      </c>
      <c r="C15" s="56" t="s">
        <v>130</v>
      </c>
      <c r="D15" s="123">
        <v>39890</v>
      </c>
      <c r="E15" s="76">
        <f t="shared" si="0"/>
        <v>39980</v>
      </c>
      <c r="F15" s="65" t="s">
        <v>227</v>
      </c>
      <c r="G15" s="65"/>
      <c r="H15" s="65"/>
      <c r="I15" s="97"/>
      <c r="J15" s="65"/>
      <c r="K15" s="65"/>
      <c r="L15" s="65"/>
      <c r="M15" s="65"/>
      <c r="N15" s="76">
        <v>41064</v>
      </c>
      <c r="O15" s="574" t="s">
        <v>762</v>
      </c>
      <c r="P15" s="76">
        <v>41500</v>
      </c>
      <c r="Q15" s="574" t="s">
        <v>1005</v>
      </c>
      <c r="R15" s="65"/>
      <c r="S15" s="65"/>
      <c r="T15" s="123">
        <v>41939</v>
      </c>
      <c r="U15" s="555" t="s">
        <v>1207</v>
      </c>
      <c r="V15" s="557">
        <v>41974</v>
      </c>
      <c r="W15" s="97" t="s">
        <v>1208</v>
      </c>
      <c r="X15" s="544">
        <v>42272</v>
      </c>
      <c r="Y15" s="541" t="s">
        <v>1367</v>
      </c>
      <c r="Z15" s="541"/>
      <c r="AA15" s="576"/>
      <c r="AB15" s="65"/>
      <c r="AC15" s="97"/>
    </row>
    <row r="16" spans="1:29" x14ac:dyDescent="0.25">
      <c r="A16" s="556">
        <v>13</v>
      </c>
      <c r="B16" s="568" t="s">
        <v>122</v>
      </c>
      <c r="C16" s="56" t="s">
        <v>12</v>
      </c>
      <c r="D16" s="123"/>
      <c r="E16" s="76">
        <f t="shared" si="0"/>
        <v>90</v>
      </c>
      <c r="F16" s="65" t="s">
        <v>227</v>
      </c>
      <c r="G16" s="65"/>
      <c r="H16" s="65"/>
      <c r="I16" s="97"/>
      <c r="J16" s="65"/>
      <c r="K16" s="65"/>
      <c r="L16" s="65"/>
      <c r="M16" s="65"/>
      <c r="N16" s="76">
        <v>41064</v>
      </c>
      <c r="O16" s="574" t="s">
        <v>762</v>
      </c>
      <c r="P16" s="76">
        <v>41500</v>
      </c>
      <c r="Q16" s="574" t="s">
        <v>1005</v>
      </c>
      <c r="R16" s="65"/>
      <c r="S16" s="65"/>
      <c r="T16" s="97"/>
      <c r="U16" s="555"/>
      <c r="V16" s="556"/>
      <c r="W16" s="97"/>
      <c r="X16" s="541"/>
      <c r="Y16" s="541"/>
      <c r="Z16" s="541"/>
      <c r="AA16" s="576"/>
      <c r="AB16" s="76">
        <v>42458</v>
      </c>
      <c r="AC16" s="97" t="s">
        <v>1462</v>
      </c>
    </row>
    <row r="17" spans="1:29" x14ac:dyDescent="0.25">
      <c r="A17" s="556">
        <v>14</v>
      </c>
      <c r="B17" s="568" t="s">
        <v>123</v>
      </c>
      <c r="C17" s="56" t="s">
        <v>13</v>
      </c>
      <c r="D17" s="123"/>
      <c r="E17" s="76">
        <f t="shared" si="0"/>
        <v>90</v>
      </c>
      <c r="F17" s="65" t="s">
        <v>227</v>
      </c>
      <c r="G17" s="65"/>
      <c r="H17" s="65"/>
      <c r="I17" s="97"/>
      <c r="J17" s="65"/>
      <c r="K17" s="65"/>
      <c r="L17" s="65"/>
      <c r="M17" s="65"/>
      <c r="N17" s="76"/>
      <c r="O17" s="574"/>
      <c r="P17" s="76">
        <v>41500</v>
      </c>
      <c r="Q17" s="574" t="s">
        <v>1005</v>
      </c>
      <c r="R17" s="65"/>
      <c r="S17" s="65"/>
      <c r="T17" s="97"/>
      <c r="U17" s="555"/>
      <c r="V17" s="556"/>
      <c r="W17" s="97"/>
      <c r="X17" s="541"/>
      <c r="Y17" s="541"/>
      <c r="Z17" s="541"/>
      <c r="AA17" s="576"/>
      <c r="AB17" s="76">
        <v>42458</v>
      </c>
      <c r="AC17" s="97" t="s">
        <v>1462</v>
      </c>
    </row>
    <row r="18" spans="1:29" ht="45" x14ac:dyDescent="0.25">
      <c r="A18" s="556">
        <v>15</v>
      </c>
      <c r="B18" s="568" t="s">
        <v>124</v>
      </c>
      <c r="C18" s="56" t="s">
        <v>9</v>
      </c>
      <c r="D18" s="123">
        <v>39890</v>
      </c>
      <c r="E18" s="76">
        <f>D18+189</f>
        <v>40079</v>
      </c>
      <c r="F18" s="65"/>
      <c r="G18" s="65" t="s">
        <v>103</v>
      </c>
      <c r="H18" s="76">
        <v>40352</v>
      </c>
      <c r="I18" s="97" t="s">
        <v>219</v>
      </c>
      <c r="J18" s="65"/>
      <c r="K18" s="65"/>
      <c r="L18" s="65"/>
      <c r="M18" s="65"/>
      <c r="N18" s="76">
        <v>41064</v>
      </c>
      <c r="O18" s="574"/>
      <c r="P18" s="76">
        <v>41500</v>
      </c>
      <c r="Q18" s="574" t="s">
        <v>1005</v>
      </c>
      <c r="R18" s="65"/>
      <c r="S18" s="65"/>
      <c r="T18" s="123">
        <v>42065</v>
      </c>
      <c r="U18" s="555" t="s">
        <v>1326</v>
      </c>
      <c r="V18" s="556"/>
      <c r="W18" s="97"/>
      <c r="X18" s="684">
        <v>42272</v>
      </c>
      <c r="Y18" s="541" t="s">
        <v>1368</v>
      </c>
      <c r="Z18" s="544">
        <v>42359</v>
      </c>
      <c r="AA18" s="576" t="s">
        <v>1433</v>
      </c>
      <c r="AB18" s="65"/>
      <c r="AC18" s="97"/>
    </row>
    <row r="19" spans="1:29" ht="30" x14ac:dyDescent="0.25">
      <c r="A19" s="556">
        <v>16</v>
      </c>
      <c r="B19" s="568" t="s">
        <v>125</v>
      </c>
      <c r="C19" s="56" t="s">
        <v>110</v>
      </c>
      <c r="D19" s="123"/>
      <c r="E19" s="76">
        <f t="shared" si="0"/>
        <v>90</v>
      </c>
      <c r="F19" s="65"/>
      <c r="G19" s="65"/>
      <c r="H19" s="65"/>
      <c r="I19" s="97"/>
      <c r="J19" s="65"/>
      <c r="K19" s="65"/>
      <c r="L19" s="65"/>
      <c r="M19" s="65"/>
      <c r="N19" s="76">
        <v>41066</v>
      </c>
      <c r="O19" s="574" t="s">
        <v>757</v>
      </c>
      <c r="P19" s="76">
        <v>41336</v>
      </c>
      <c r="Q19" s="574" t="s">
        <v>761</v>
      </c>
      <c r="R19" s="65"/>
      <c r="S19" s="65"/>
      <c r="T19" s="123">
        <v>41828</v>
      </c>
      <c r="U19" s="555" t="s">
        <v>1199</v>
      </c>
      <c r="V19" s="557">
        <v>41939</v>
      </c>
      <c r="W19" s="97" t="s">
        <v>1205</v>
      </c>
      <c r="X19" s="684">
        <v>42275</v>
      </c>
      <c r="Y19" s="541" t="s">
        <v>1369</v>
      </c>
      <c r="Z19" s="541"/>
      <c r="AA19" s="576"/>
      <c r="AB19" s="65"/>
      <c r="AC19" s="97"/>
    </row>
    <row r="20" spans="1:29" ht="60" x14ac:dyDescent="0.25">
      <c r="A20" s="556">
        <v>17</v>
      </c>
      <c r="B20" s="568" t="s">
        <v>126</v>
      </c>
      <c r="C20" s="405" t="s">
        <v>14</v>
      </c>
      <c r="D20" s="123">
        <v>40015</v>
      </c>
      <c r="E20" s="76">
        <f t="shared" si="0"/>
        <v>40105</v>
      </c>
      <c r="F20" s="65" t="s">
        <v>28</v>
      </c>
      <c r="G20" s="65" t="s">
        <v>103</v>
      </c>
      <c r="H20" s="76">
        <v>40352</v>
      </c>
      <c r="I20" s="97" t="s">
        <v>233</v>
      </c>
      <c r="J20" s="76">
        <f>H20+416</f>
        <v>40768</v>
      </c>
      <c r="K20" s="76" t="s">
        <v>220</v>
      </c>
      <c r="L20" s="65"/>
      <c r="M20" s="65"/>
      <c r="N20" s="76">
        <v>41057</v>
      </c>
      <c r="O20" s="574" t="s">
        <v>752</v>
      </c>
      <c r="P20" s="76">
        <v>41472</v>
      </c>
      <c r="Q20" s="574" t="s">
        <v>981</v>
      </c>
      <c r="R20" s="76">
        <v>41530</v>
      </c>
      <c r="S20" s="65" t="s">
        <v>942</v>
      </c>
      <c r="T20" s="123">
        <v>41668</v>
      </c>
      <c r="U20" s="555" t="s">
        <v>1192</v>
      </c>
      <c r="V20" s="557">
        <v>41829</v>
      </c>
      <c r="W20" s="97" t="s">
        <v>1206</v>
      </c>
      <c r="X20" s="544">
        <v>42066</v>
      </c>
      <c r="Y20" s="541" t="s">
        <v>1321</v>
      </c>
      <c r="Z20" s="544">
        <v>42137</v>
      </c>
      <c r="AA20" s="576" t="s">
        <v>1385</v>
      </c>
      <c r="AB20" s="76">
        <v>42355</v>
      </c>
      <c r="AC20" s="97" t="s">
        <v>1435</v>
      </c>
    </row>
    <row r="21" spans="1:29" s="7" customFormat="1" ht="30" x14ac:dyDescent="0.25">
      <c r="A21" s="556">
        <v>18</v>
      </c>
      <c r="B21" s="569" t="s">
        <v>127</v>
      </c>
      <c r="C21" s="56" t="s">
        <v>128</v>
      </c>
      <c r="D21" s="118">
        <v>40353</v>
      </c>
      <c r="E21" s="76">
        <f t="shared" si="0"/>
        <v>40443</v>
      </c>
      <c r="F21" s="64" t="s">
        <v>221</v>
      </c>
      <c r="G21" s="64" t="s">
        <v>103</v>
      </c>
      <c r="H21" s="65"/>
      <c r="I21" s="97"/>
      <c r="J21" s="65"/>
      <c r="K21" s="65"/>
      <c r="L21" s="76">
        <v>40660</v>
      </c>
      <c r="M21" s="65" t="s">
        <v>341</v>
      </c>
      <c r="N21" s="76">
        <v>41065</v>
      </c>
      <c r="O21" s="574" t="s">
        <v>763</v>
      </c>
      <c r="P21" s="65"/>
      <c r="Q21" s="574"/>
      <c r="R21" s="65"/>
      <c r="S21" s="65"/>
      <c r="T21" s="123">
        <v>41907</v>
      </c>
      <c r="U21" s="555" t="s">
        <v>1201</v>
      </c>
      <c r="V21" s="557">
        <v>41939</v>
      </c>
      <c r="W21" s="97" t="s">
        <v>1204</v>
      </c>
      <c r="X21" s="541"/>
      <c r="Y21" s="541"/>
      <c r="Z21" s="541"/>
      <c r="AA21" s="576"/>
      <c r="AB21" s="65"/>
      <c r="AC21" s="97"/>
    </row>
    <row r="22" spans="1:29" x14ac:dyDescent="0.25">
      <c r="A22" s="556">
        <v>19</v>
      </c>
      <c r="B22" s="570" t="s">
        <v>131</v>
      </c>
      <c r="C22" s="47" t="s">
        <v>10</v>
      </c>
      <c r="D22" s="118">
        <v>40366</v>
      </c>
      <c r="E22" s="76">
        <f t="shared" si="0"/>
        <v>40456</v>
      </c>
      <c r="F22" s="560"/>
      <c r="G22" s="64" t="s">
        <v>103</v>
      </c>
      <c r="H22" s="76">
        <v>40445</v>
      </c>
      <c r="I22" s="97" t="s">
        <v>257</v>
      </c>
      <c r="J22" s="76">
        <f>H22+416</f>
        <v>40861</v>
      </c>
      <c r="K22" s="65"/>
      <c r="L22" s="65"/>
      <c r="M22" s="65"/>
      <c r="N22" s="65"/>
      <c r="O22" s="574"/>
      <c r="P22" s="65"/>
      <c r="Q22" s="574" t="s">
        <v>1005</v>
      </c>
      <c r="R22" s="65"/>
      <c r="S22" s="65"/>
      <c r="T22" s="97"/>
      <c r="U22" s="555"/>
      <c r="V22" s="557">
        <v>42142</v>
      </c>
      <c r="W22" s="97" t="s">
        <v>1380</v>
      </c>
      <c r="X22" s="541"/>
      <c r="Y22" s="541"/>
      <c r="Z22" s="541"/>
      <c r="AA22" s="576"/>
      <c r="AB22" s="65"/>
      <c r="AC22" s="97"/>
    </row>
    <row r="23" spans="1:29" s="7" customFormat="1" x14ac:dyDescent="0.25">
      <c r="A23" s="556">
        <v>20</v>
      </c>
      <c r="B23" s="571"/>
      <c r="C23" s="47" t="s">
        <v>11</v>
      </c>
      <c r="D23" s="572"/>
      <c r="E23" s="560"/>
      <c r="F23" s="560"/>
      <c r="G23" s="64" t="s">
        <v>104</v>
      </c>
      <c r="H23" s="65"/>
      <c r="I23" s="97"/>
      <c r="J23" s="65"/>
      <c r="K23" s="65"/>
      <c r="L23" s="65"/>
      <c r="M23" s="65"/>
      <c r="N23" s="65"/>
      <c r="O23" s="574"/>
      <c r="P23" s="65"/>
      <c r="Q23" s="574" t="s">
        <v>1005</v>
      </c>
      <c r="R23" s="65"/>
      <c r="S23" s="65"/>
      <c r="T23" s="97"/>
      <c r="U23" s="555"/>
      <c r="V23" s="556"/>
      <c r="W23" s="97"/>
      <c r="X23" s="541"/>
      <c r="Y23" s="541"/>
      <c r="Z23" s="541"/>
      <c r="AA23" s="576"/>
      <c r="AB23" s="65"/>
      <c r="AC23" s="97"/>
    </row>
    <row r="24" spans="1:29" x14ac:dyDescent="0.25">
      <c r="A24" s="556">
        <v>20</v>
      </c>
      <c r="B24" s="566"/>
      <c r="C24" s="4"/>
      <c r="D24" s="97"/>
      <c r="E24" s="65"/>
      <c r="F24" s="65"/>
      <c r="G24" s="65"/>
      <c r="H24" s="65"/>
      <c r="I24" s="97"/>
      <c r="J24" s="65"/>
      <c r="K24" s="65"/>
      <c r="L24" s="65"/>
      <c r="M24" s="65"/>
      <c r="N24" s="65"/>
      <c r="O24" s="574"/>
      <c r="P24" s="65"/>
      <c r="Q24" s="574"/>
      <c r="R24" s="65"/>
      <c r="S24" s="65"/>
      <c r="T24" s="97"/>
      <c r="U24" s="555"/>
      <c r="V24" s="556"/>
      <c r="W24" s="97"/>
      <c r="X24" s="541"/>
      <c r="Y24" s="541"/>
      <c r="Z24" s="541"/>
      <c r="AA24" s="576"/>
      <c r="AB24" s="65"/>
      <c r="AC24" s="97"/>
    </row>
    <row r="25" spans="1:29" x14ac:dyDescent="0.25">
      <c r="A25" s="556">
        <v>20</v>
      </c>
      <c r="B25" s="566"/>
      <c r="C25" s="4"/>
      <c r="D25" s="97"/>
      <c r="E25" s="65"/>
      <c r="F25" s="65"/>
      <c r="G25" s="65"/>
      <c r="H25" s="65"/>
      <c r="I25" s="97"/>
      <c r="J25" s="65"/>
      <c r="K25" s="65"/>
      <c r="L25" s="65"/>
      <c r="M25" s="65"/>
      <c r="N25" s="65"/>
      <c r="O25" s="574"/>
      <c r="P25" s="65"/>
      <c r="Q25" s="574"/>
      <c r="R25" s="65"/>
      <c r="S25" s="65"/>
      <c r="T25" s="97"/>
      <c r="U25" s="555"/>
      <c r="V25" s="556"/>
      <c r="W25" s="97"/>
      <c r="X25" s="541"/>
      <c r="Y25" s="541"/>
      <c r="Z25" s="541"/>
      <c r="AA25" s="576"/>
      <c r="AB25" s="65"/>
      <c r="AC25" s="97"/>
    </row>
    <row r="26" spans="1:29" ht="15.75" thickBot="1" x14ac:dyDescent="0.3">
      <c r="A26" s="561">
        <v>20</v>
      </c>
      <c r="B26" s="567"/>
      <c r="C26" s="8"/>
      <c r="D26" s="563"/>
      <c r="E26" s="562"/>
      <c r="F26" s="562"/>
      <c r="G26" s="562"/>
      <c r="H26" s="562"/>
      <c r="I26" s="563"/>
      <c r="J26" s="562"/>
      <c r="K26" s="562"/>
      <c r="L26" s="562"/>
      <c r="M26" s="562"/>
      <c r="N26" s="562"/>
      <c r="O26" s="567"/>
      <c r="P26" s="562"/>
      <c r="Q26" s="575"/>
      <c r="R26" s="562"/>
      <c r="S26" s="562"/>
      <c r="T26" s="563"/>
      <c r="U26" s="564"/>
      <c r="V26" s="561"/>
      <c r="W26" s="563"/>
      <c r="X26" s="565"/>
      <c r="Y26" s="565"/>
      <c r="Z26" s="541"/>
      <c r="AA26" s="576"/>
      <c r="AB26" s="65"/>
      <c r="AC26" s="97"/>
    </row>
    <row r="27" spans="1:29" x14ac:dyDescent="0.25">
      <c r="B27" s="1"/>
      <c r="C27" s="548"/>
      <c r="W27" s="559"/>
      <c r="X27" s="543"/>
      <c r="Y27" s="543"/>
    </row>
    <row r="28" spans="1:29" x14ac:dyDescent="0.25">
      <c r="B28" s="1"/>
      <c r="C28" s="548"/>
    </row>
    <row r="29" spans="1:29" x14ac:dyDescent="0.25">
      <c r="B29" s="1"/>
      <c r="C29" s="548"/>
    </row>
    <row r="30" spans="1:29" x14ac:dyDescent="0.25">
      <c r="B30" s="1"/>
      <c r="C30" s="548"/>
    </row>
    <row r="31" spans="1:29" x14ac:dyDescent="0.25">
      <c r="B31" s="1"/>
      <c r="C31" s="548"/>
    </row>
    <row r="32" spans="1:29" x14ac:dyDescent="0.25">
      <c r="B32" s="1"/>
      <c r="C32" s="548"/>
    </row>
    <row r="33" spans="2:12" x14ac:dyDescent="0.25">
      <c r="B33" s="1"/>
      <c r="C33" s="548"/>
    </row>
    <row r="40" spans="2:12" x14ac:dyDescent="0.25">
      <c r="L40" s="1" t="s">
        <v>745</v>
      </c>
    </row>
    <row r="46" spans="2:12" x14ac:dyDescent="0.25">
      <c r="D46" s="1" t="s">
        <v>744</v>
      </c>
    </row>
  </sheetData>
  <autoFilter ref="A1:J33"/>
  <mergeCells count="29">
    <mergeCell ref="AB1:AB3"/>
    <mergeCell ref="AC1:AC3"/>
    <mergeCell ref="C1:C3"/>
    <mergeCell ref="D1:D3"/>
    <mergeCell ref="A1:A3"/>
    <mergeCell ref="G1:G3"/>
    <mergeCell ref="U1:U3"/>
    <mergeCell ref="E1:E3"/>
    <mergeCell ref="F1:F3"/>
    <mergeCell ref="H1:H3"/>
    <mergeCell ref="I1:I3"/>
    <mergeCell ref="B1:B3"/>
    <mergeCell ref="J1:J3"/>
    <mergeCell ref="K1:K3"/>
    <mergeCell ref="L1:L3"/>
    <mergeCell ref="M1:M3"/>
    <mergeCell ref="N1:N3"/>
    <mergeCell ref="Z1:Z3"/>
    <mergeCell ref="AA1:AA3"/>
    <mergeCell ref="X1:X3"/>
    <mergeCell ref="Y1:Y3"/>
    <mergeCell ref="O1:O3"/>
    <mergeCell ref="P1:P3"/>
    <mergeCell ref="Q1:Q3"/>
    <mergeCell ref="R1:R3"/>
    <mergeCell ref="S1:S3"/>
    <mergeCell ref="T1:T3"/>
    <mergeCell ref="V1:V3"/>
    <mergeCell ref="W1:W3"/>
  </mergeCells>
  <hyperlinks>
    <hyperlink ref="B4" r:id="rId1"/>
    <hyperlink ref="B5" r:id="rId2"/>
    <hyperlink ref="B6" r:id="rId3"/>
    <hyperlink ref="B7" r:id="rId4"/>
    <hyperlink ref="B11" r:id="rId5"/>
    <hyperlink ref="B12" r:id="rId6"/>
    <hyperlink ref="B13" r:id="rId7"/>
    <hyperlink ref="B14" r:id="rId8"/>
    <hyperlink ref="B15" r:id="rId9"/>
    <hyperlink ref="B16" r:id="rId10"/>
    <hyperlink ref="B17" r:id="rId11"/>
    <hyperlink ref="B19" r:id="rId12"/>
    <hyperlink ref="B18" r:id="rId13"/>
    <hyperlink ref="B20" r:id="rId14"/>
    <hyperlink ref="B8" r:id="rId15"/>
    <hyperlink ref="B10" r:id="rId16" display="HATFUV"/>
  </hyperlinks>
  <pageMargins left="0.7" right="0.7" top="0.75" bottom="0.75" header="0.3" footer="0.3"/>
  <pageSetup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C67"/>
  <sheetViews>
    <sheetView showGridLines="0" topLeftCell="A25" zoomScale="70" zoomScaleNormal="70" workbookViewId="0">
      <pane xSplit="3" topLeftCell="Y1" activePane="topRight" state="frozen"/>
      <selection pane="topRight" activeCell="Y16" sqref="Y16"/>
    </sheetView>
  </sheetViews>
  <sheetFormatPr baseColWidth="10" defaultRowHeight="15" x14ac:dyDescent="0.25"/>
  <cols>
    <col min="1" max="1" width="8" style="1" customWidth="1"/>
    <col min="2" max="2" width="13.42578125" style="3" customWidth="1"/>
    <col min="3" max="3" width="45.42578125" style="2" customWidth="1"/>
    <col min="4" max="4" width="16.42578125" style="1" customWidth="1"/>
    <col min="5" max="5" width="16.28515625" style="1" customWidth="1"/>
    <col min="6" max="6" width="36.42578125" style="1" customWidth="1"/>
    <col min="7" max="7" width="19.28515625" style="1" customWidth="1"/>
    <col min="8" max="8" width="15.5703125" style="1" customWidth="1"/>
    <col min="9" max="9" width="42.5703125" style="1" customWidth="1"/>
    <col min="10" max="10" width="19.28515625" style="1" customWidth="1"/>
    <col min="11" max="11" width="17.28515625" style="1" customWidth="1"/>
    <col min="12" max="12" width="16.5703125" style="1" customWidth="1"/>
    <col min="13" max="13" width="35.7109375" style="1" customWidth="1"/>
    <col min="14" max="14" width="39.85546875" style="1" customWidth="1"/>
    <col min="15" max="15" width="15.28515625" style="1" customWidth="1"/>
    <col min="16" max="16" width="36" style="1" customWidth="1"/>
    <col min="17" max="17" width="15.28515625" style="1" customWidth="1"/>
    <col min="18" max="18" width="40.7109375" style="1" customWidth="1"/>
    <col min="19" max="19" width="37.7109375" style="1" customWidth="1"/>
    <col min="20" max="20" width="21.140625" style="1" customWidth="1"/>
    <col min="21" max="21" width="45.7109375" style="1" customWidth="1"/>
    <col min="22" max="22" width="40.85546875" style="1" customWidth="1"/>
    <col min="23" max="23" width="46.42578125" style="1" customWidth="1"/>
    <col min="24" max="24" width="20.5703125" style="1" customWidth="1"/>
    <col min="25" max="25" width="44.42578125" style="1" bestFit="1" customWidth="1"/>
    <col min="26" max="26" width="34.7109375" style="1" customWidth="1"/>
    <col min="27" max="27" width="43.5703125" style="1" customWidth="1"/>
    <col min="28" max="28" width="22" style="1" customWidth="1"/>
    <col min="29" max="29" width="29" style="1" customWidth="1"/>
    <col min="30" max="16384" width="11.42578125" style="1"/>
  </cols>
  <sheetData>
    <row r="1" spans="1:29" x14ac:dyDescent="0.25">
      <c r="A1" s="747" t="s">
        <v>19</v>
      </c>
      <c r="B1" s="734" t="s">
        <v>15</v>
      </c>
      <c r="C1" s="734" t="s">
        <v>16</v>
      </c>
      <c r="D1" s="734" t="s">
        <v>17</v>
      </c>
      <c r="E1" s="734" t="s">
        <v>18</v>
      </c>
      <c r="F1" s="734" t="s">
        <v>21</v>
      </c>
      <c r="G1" s="734" t="s">
        <v>105</v>
      </c>
      <c r="H1" s="734" t="s">
        <v>22</v>
      </c>
      <c r="I1" s="734" t="s">
        <v>20</v>
      </c>
      <c r="J1" s="734" t="s">
        <v>24</v>
      </c>
      <c r="K1" s="734" t="s">
        <v>214</v>
      </c>
      <c r="L1" s="734" t="s">
        <v>1332</v>
      </c>
      <c r="M1" s="734" t="s">
        <v>328</v>
      </c>
      <c r="N1" s="734" t="s">
        <v>214</v>
      </c>
      <c r="O1" s="734" t="s">
        <v>327</v>
      </c>
      <c r="P1" s="734" t="s">
        <v>328</v>
      </c>
      <c r="Q1" s="734" t="s">
        <v>1327</v>
      </c>
      <c r="R1" s="734" t="s">
        <v>328</v>
      </c>
      <c r="S1" s="734" t="s">
        <v>867</v>
      </c>
      <c r="T1" s="734" t="s">
        <v>1333</v>
      </c>
      <c r="U1" s="750" t="s">
        <v>314</v>
      </c>
      <c r="V1" s="734" t="s">
        <v>1328</v>
      </c>
      <c r="W1" s="734" t="s">
        <v>314</v>
      </c>
      <c r="X1" s="740" t="s">
        <v>1334</v>
      </c>
      <c r="Y1" s="740" t="s">
        <v>314</v>
      </c>
      <c r="Z1" s="740" t="s">
        <v>1329</v>
      </c>
      <c r="AA1" s="740" t="s">
        <v>314</v>
      </c>
      <c r="AB1" s="740" t="s">
        <v>1424</v>
      </c>
      <c r="AC1" s="740" t="s">
        <v>314</v>
      </c>
    </row>
    <row r="2" spans="1:29" x14ac:dyDescent="0.25">
      <c r="A2" s="748"/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51"/>
      <c r="V2" s="735"/>
      <c r="W2" s="735"/>
      <c r="X2" s="740"/>
      <c r="Y2" s="740"/>
      <c r="Z2" s="740"/>
      <c r="AA2" s="740"/>
      <c r="AB2" s="740"/>
      <c r="AC2" s="740"/>
    </row>
    <row r="3" spans="1:29" ht="39.75" customHeight="1" thickBot="1" x14ac:dyDescent="0.3">
      <c r="A3" s="749"/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736"/>
      <c r="N3" s="736"/>
      <c r="O3" s="736"/>
      <c r="P3" s="736"/>
      <c r="Q3" s="736"/>
      <c r="R3" s="736"/>
      <c r="S3" s="736"/>
      <c r="T3" s="736"/>
      <c r="U3" s="752"/>
      <c r="V3" s="736"/>
      <c r="W3" s="736"/>
      <c r="X3" s="741"/>
      <c r="Y3" s="741"/>
      <c r="Z3" s="741"/>
      <c r="AA3" s="741"/>
      <c r="AB3" s="741"/>
      <c r="AC3" s="741"/>
    </row>
    <row r="4" spans="1:29" s="6" customFormat="1" x14ac:dyDescent="0.25">
      <c r="A4" s="19">
        <v>1</v>
      </c>
      <c r="B4" s="58" t="s">
        <v>6</v>
      </c>
      <c r="C4" s="402" t="s">
        <v>135</v>
      </c>
      <c r="D4" s="59">
        <v>40043</v>
      </c>
      <c r="E4" s="59">
        <f>D4+416</f>
        <v>40459</v>
      </c>
      <c r="F4" s="60" t="s">
        <v>27</v>
      </c>
      <c r="G4" s="60" t="s">
        <v>103</v>
      </c>
      <c r="H4" s="59">
        <v>40525</v>
      </c>
      <c r="I4" s="64" t="s">
        <v>235</v>
      </c>
      <c r="J4" s="63">
        <f t="shared" ref="J4:J9" si="0">H4+416</f>
        <v>40941</v>
      </c>
      <c r="K4" s="65" t="s">
        <v>284</v>
      </c>
      <c r="L4" s="76">
        <v>40945</v>
      </c>
      <c r="M4" s="65" t="s">
        <v>254</v>
      </c>
      <c r="N4" s="65"/>
      <c r="O4" s="65"/>
      <c r="P4" s="65"/>
      <c r="Q4" s="399">
        <v>41388</v>
      </c>
      <c r="R4" s="65" t="s">
        <v>876</v>
      </c>
      <c r="S4" s="65"/>
      <c r="T4" s="76">
        <v>41820</v>
      </c>
      <c r="U4" s="566" t="s">
        <v>876</v>
      </c>
      <c r="V4" s="704"/>
      <c r="W4" s="701"/>
      <c r="X4" s="704">
        <v>42115</v>
      </c>
      <c r="Y4" s="701" t="s">
        <v>1359</v>
      </c>
      <c r="Z4" s="702">
        <v>42262</v>
      </c>
      <c r="AA4" s="700" t="s">
        <v>1406</v>
      </c>
      <c r="AB4" s="703"/>
      <c r="AC4" s="100"/>
    </row>
    <row r="5" spans="1:29" ht="42.75" customHeight="1" x14ac:dyDescent="0.25">
      <c r="A5" s="4">
        <v>2</v>
      </c>
      <c r="B5" s="62"/>
      <c r="C5" s="403" t="s">
        <v>136</v>
      </c>
      <c r="D5" s="63">
        <v>40057</v>
      </c>
      <c r="E5" s="63">
        <f>D5+416</f>
        <v>40473</v>
      </c>
      <c r="F5" s="64" t="s">
        <v>27</v>
      </c>
      <c r="G5" s="64" t="s">
        <v>103</v>
      </c>
      <c r="H5" s="63">
        <v>40526</v>
      </c>
      <c r="I5" s="64" t="s">
        <v>235</v>
      </c>
      <c r="J5" s="63">
        <f t="shared" si="0"/>
        <v>40942</v>
      </c>
      <c r="K5" s="65" t="s">
        <v>297</v>
      </c>
      <c r="L5" s="76">
        <v>40946</v>
      </c>
      <c r="M5" s="65" t="s">
        <v>254</v>
      </c>
      <c r="N5" s="65"/>
      <c r="O5" s="65"/>
      <c r="P5" s="65"/>
      <c r="Q5" s="399">
        <v>41282</v>
      </c>
      <c r="R5" s="65" t="s">
        <v>876</v>
      </c>
      <c r="S5" s="65"/>
      <c r="T5" s="76">
        <v>41820</v>
      </c>
      <c r="U5" s="566" t="s">
        <v>876</v>
      </c>
      <c r="V5" s="577"/>
      <c r="W5" s="577"/>
      <c r="X5" s="541"/>
      <c r="Y5" s="541"/>
      <c r="Z5" s="544">
        <v>42227</v>
      </c>
      <c r="AA5" s="576" t="s">
        <v>1402</v>
      </c>
      <c r="AB5" s="709" t="s">
        <v>1467</v>
      </c>
      <c r="AC5" s="65" t="s">
        <v>1468</v>
      </c>
    </row>
    <row r="6" spans="1:29" s="7" customFormat="1" x14ac:dyDescent="0.25">
      <c r="A6" s="4">
        <v>3</v>
      </c>
      <c r="B6" s="62"/>
      <c r="C6" s="403" t="s">
        <v>137</v>
      </c>
      <c r="D6" s="63">
        <v>40050</v>
      </c>
      <c r="E6" s="63">
        <f>D6+416</f>
        <v>40466</v>
      </c>
      <c r="F6" s="64" t="s">
        <v>27</v>
      </c>
      <c r="G6" s="64" t="s">
        <v>103</v>
      </c>
      <c r="H6" s="63">
        <v>40511</v>
      </c>
      <c r="I6" s="64" t="s">
        <v>235</v>
      </c>
      <c r="J6" s="63">
        <f t="shared" si="0"/>
        <v>40927</v>
      </c>
      <c r="K6" s="65" t="s">
        <v>284</v>
      </c>
      <c r="L6" s="76">
        <v>40883</v>
      </c>
      <c r="M6" s="65" t="s">
        <v>254</v>
      </c>
      <c r="N6" s="65"/>
      <c r="O6" s="65"/>
      <c r="P6" s="65"/>
      <c r="Q6" s="399">
        <v>41402</v>
      </c>
      <c r="R6" s="65" t="s">
        <v>876</v>
      </c>
      <c r="S6" s="65"/>
      <c r="T6" s="76">
        <v>41779</v>
      </c>
      <c r="U6" s="566" t="s">
        <v>876</v>
      </c>
      <c r="V6" s="577"/>
      <c r="W6" s="577"/>
      <c r="X6" s="541"/>
      <c r="Y6" s="541"/>
      <c r="Z6" s="544">
        <v>42240</v>
      </c>
      <c r="AA6" s="576" t="s">
        <v>1406</v>
      </c>
      <c r="AB6" s="709">
        <v>42485</v>
      </c>
      <c r="AC6" s="65" t="s">
        <v>1452</v>
      </c>
    </row>
    <row r="7" spans="1:29" x14ac:dyDescent="0.25">
      <c r="A7" s="4">
        <v>4</v>
      </c>
      <c r="B7" s="62"/>
      <c r="C7" s="403" t="s">
        <v>138</v>
      </c>
      <c r="D7" s="63">
        <v>40053</v>
      </c>
      <c r="E7" s="63">
        <f>D7+416</f>
        <v>40469</v>
      </c>
      <c r="F7" s="64" t="s">
        <v>27</v>
      </c>
      <c r="G7" s="64" t="s">
        <v>103</v>
      </c>
      <c r="H7" s="63">
        <v>40498</v>
      </c>
      <c r="I7" s="64" t="s">
        <v>235</v>
      </c>
      <c r="J7" s="63">
        <f t="shared" si="0"/>
        <v>40914</v>
      </c>
      <c r="K7" s="65" t="s">
        <v>284</v>
      </c>
      <c r="L7" s="76">
        <v>40889</v>
      </c>
      <c r="M7" s="65" t="s">
        <v>254</v>
      </c>
      <c r="N7" s="65"/>
      <c r="O7" s="65"/>
      <c r="P7" s="65"/>
      <c r="Q7" s="399">
        <v>41402</v>
      </c>
      <c r="R7" s="65" t="s">
        <v>876</v>
      </c>
      <c r="S7" s="65"/>
      <c r="T7" s="76">
        <v>41779</v>
      </c>
      <c r="U7" s="566" t="s">
        <v>876</v>
      </c>
      <c r="V7" s="577"/>
      <c r="W7" s="577"/>
      <c r="X7" s="541"/>
      <c r="Y7" s="541"/>
      <c r="Z7" s="544">
        <v>42247</v>
      </c>
      <c r="AA7" s="576" t="s">
        <v>1409</v>
      </c>
      <c r="AB7" s="566"/>
      <c r="AC7" s="65"/>
    </row>
    <row r="8" spans="1:29" s="7" customFormat="1" x14ac:dyDescent="0.25">
      <c r="A8" s="4">
        <v>5</v>
      </c>
      <c r="B8" s="62"/>
      <c r="C8" s="403" t="s">
        <v>139</v>
      </c>
      <c r="D8" s="63">
        <v>40038</v>
      </c>
      <c r="E8" s="63">
        <f t="shared" ref="E8:E52" si="1">D8+416</f>
        <v>40454</v>
      </c>
      <c r="F8" s="64" t="s">
        <v>27</v>
      </c>
      <c r="G8" s="64" t="s">
        <v>103</v>
      </c>
      <c r="H8" s="63">
        <v>40511</v>
      </c>
      <c r="I8" s="64" t="s">
        <v>296</v>
      </c>
      <c r="J8" s="63">
        <f t="shared" si="0"/>
        <v>40927</v>
      </c>
      <c r="K8" s="65" t="s">
        <v>284</v>
      </c>
      <c r="L8" s="76">
        <v>40889</v>
      </c>
      <c r="M8" s="65" t="s">
        <v>254</v>
      </c>
      <c r="N8" s="65"/>
      <c r="O8" s="76">
        <v>41282</v>
      </c>
      <c r="P8" s="65" t="s">
        <v>877</v>
      </c>
      <c r="Q8" s="399">
        <v>41372</v>
      </c>
      <c r="R8" s="65" t="s">
        <v>876</v>
      </c>
      <c r="S8" s="65"/>
      <c r="T8" s="76">
        <v>41792</v>
      </c>
      <c r="U8" s="566" t="s">
        <v>876</v>
      </c>
      <c r="V8" s="577"/>
      <c r="W8" s="577"/>
      <c r="X8" s="541"/>
      <c r="Y8" s="541"/>
      <c r="Z8" s="544">
        <v>42247</v>
      </c>
      <c r="AA8" s="576" t="s">
        <v>1409</v>
      </c>
      <c r="AB8" s="566"/>
      <c r="AC8" s="65"/>
    </row>
    <row r="9" spans="1:29" x14ac:dyDescent="0.25">
      <c r="A9" s="4">
        <v>6</v>
      </c>
      <c r="B9" s="62"/>
      <c r="C9" s="403" t="s">
        <v>140</v>
      </c>
      <c r="D9" s="63">
        <v>40046</v>
      </c>
      <c r="E9" s="63">
        <f t="shared" si="1"/>
        <v>40462</v>
      </c>
      <c r="F9" s="64" t="s">
        <v>27</v>
      </c>
      <c r="G9" s="64" t="s">
        <v>103</v>
      </c>
      <c r="H9" s="63">
        <v>40505</v>
      </c>
      <c r="I9" s="64" t="s">
        <v>295</v>
      </c>
      <c r="J9" s="63">
        <f t="shared" si="0"/>
        <v>40921</v>
      </c>
      <c r="K9" s="65" t="s">
        <v>294</v>
      </c>
      <c r="L9" s="76">
        <v>40890</v>
      </c>
      <c r="M9" s="65" t="s">
        <v>254</v>
      </c>
      <c r="N9" s="65"/>
      <c r="O9" s="65"/>
      <c r="P9" s="65"/>
      <c r="Q9" s="399">
        <v>41402</v>
      </c>
      <c r="R9" s="65" t="s">
        <v>876</v>
      </c>
      <c r="S9" s="65"/>
      <c r="T9" s="76">
        <v>41792</v>
      </c>
      <c r="U9" s="566" t="s">
        <v>876</v>
      </c>
      <c r="V9" s="578"/>
      <c r="W9" s="577"/>
      <c r="X9" s="578">
        <v>42115</v>
      </c>
      <c r="Y9" s="577" t="s">
        <v>1359</v>
      </c>
      <c r="Z9" s="544">
        <v>42283</v>
      </c>
      <c r="AA9" s="576" t="s">
        <v>1409</v>
      </c>
      <c r="AB9" s="566"/>
      <c r="AC9" s="65"/>
    </row>
    <row r="10" spans="1:29" s="7" customFormat="1" x14ac:dyDescent="0.25">
      <c r="A10" s="4">
        <v>7</v>
      </c>
      <c r="B10" s="62"/>
      <c r="C10" s="403" t="s">
        <v>141</v>
      </c>
      <c r="D10" s="63">
        <v>40036</v>
      </c>
      <c r="E10" s="63">
        <f t="shared" si="1"/>
        <v>40452</v>
      </c>
      <c r="F10" s="64" t="s">
        <v>27</v>
      </c>
      <c r="G10" s="64" t="s">
        <v>103</v>
      </c>
      <c r="H10" s="63">
        <v>40497</v>
      </c>
      <c r="I10" s="64" t="s">
        <v>279</v>
      </c>
      <c r="J10" s="63">
        <f t="shared" ref="J10:J16" si="2">H10+416</f>
        <v>40913</v>
      </c>
      <c r="K10" s="65" t="s">
        <v>280</v>
      </c>
      <c r="L10" s="76">
        <v>40898</v>
      </c>
      <c r="M10" s="65" t="s">
        <v>254</v>
      </c>
      <c r="N10" s="65"/>
      <c r="O10" s="65"/>
      <c r="P10" s="65"/>
      <c r="Q10" s="399">
        <v>41407</v>
      </c>
      <c r="R10" s="65" t="s">
        <v>876</v>
      </c>
      <c r="S10" s="65"/>
      <c r="T10" s="76">
        <v>41877</v>
      </c>
      <c r="U10" s="566" t="s">
        <v>876</v>
      </c>
      <c r="V10" s="578"/>
      <c r="W10" s="577"/>
      <c r="X10" s="578">
        <v>42108</v>
      </c>
      <c r="Y10" s="577" t="s">
        <v>1360</v>
      </c>
      <c r="Z10" s="544">
        <v>42255</v>
      </c>
      <c r="AA10" s="576" t="s">
        <v>1411</v>
      </c>
      <c r="AB10" s="566"/>
      <c r="AC10" s="65"/>
    </row>
    <row r="11" spans="1:29" x14ac:dyDescent="0.25">
      <c r="A11" s="4">
        <v>8</v>
      </c>
      <c r="B11" s="62"/>
      <c r="C11" s="403" t="s">
        <v>142</v>
      </c>
      <c r="D11" s="63">
        <v>40036</v>
      </c>
      <c r="E11" s="63">
        <f t="shared" si="1"/>
        <v>40452</v>
      </c>
      <c r="F11" s="64" t="s">
        <v>27</v>
      </c>
      <c r="G11" s="64" t="s">
        <v>103</v>
      </c>
      <c r="H11" s="63">
        <v>40497</v>
      </c>
      <c r="I11" s="64" t="s">
        <v>279</v>
      </c>
      <c r="J11" s="63">
        <f t="shared" si="2"/>
        <v>40913</v>
      </c>
      <c r="K11" s="65" t="s">
        <v>280</v>
      </c>
      <c r="L11" s="76">
        <v>40898</v>
      </c>
      <c r="M11" s="65" t="s">
        <v>254</v>
      </c>
      <c r="N11" s="65"/>
      <c r="O11" s="65"/>
      <c r="P11" s="65"/>
      <c r="Q11" s="399">
        <v>41407</v>
      </c>
      <c r="R11" s="65" t="s">
        <v>876</v>
      </c>
      <c r="S11" s="65"/>
      <c r="T11" s="76">
        <v>41877</v>
      </c>
      <c r="U11" s="566" t="s">
        <v>876</v>
      </c>
      <c r="V11" s="577"/>
      <c r="W11" s="577"/>
      <c r="X11" s="541"/>
      <c r="Y11" s="541"/>
      <c r="Z11" s="544">
        <v>42255</v>
      </c>
      <c r="AA11" s="576" t="s">
        <v>1411</v>
      </c>
      <c r="AB11" s="566"/>
      <c r="AC11" s="65"/>
    </row>
    <row r="12" spans="1:29" x14ac:dyDescent="0.25">
      <c r="A12" s="4">
        <v>9</v>
      </c>
      <c r="B12" s="62"/>
      <c r="C12" s="403" t="s">
        <v>143</v>
      </c>
      <c r="D12" s="63">
        <v>40036</v>
      </c>
      <c r="E12" s="63">
        <f t="shared" si="1"/>
        <v>40452</v>
      </c>
      <c r="F12" s="64" t="s">
        <v>27</v>
      </c>
      <c r="G12" s="64" t="s">
        <v>103</v>
      </c>
      <c r="H12" s="63">
        <v>40498</v>
      </c>
      <c r="I12" s="64" t="s">
        <v>281</v>
      </c>
      <c r="J12" s="63">
        <f t="shared" si="2"/>
        <v>40914</v>
      </c>
      <c r="K12" s="65" t="s">
        <v>280</v>
      </c>
      <c r="L12" s="76">
        <v>40897</v>
      </c>
      <c r="M12" s="65" t="s">
        <v>254</v>
      </c>
      <c r="N12" s="65"/>
      <c r="O12" s="65"/>
      <c r="P12" s="65"/>
      <c r="Q12" s="399">
        <v>41407</v>
      </c>
      <c r="R12" s="65" t="s">
        <v>876</v>
      </c>
      <c r="S12" s="65"/>
      <c r="T12" s="76">
        <v>41884</v>
      </c>
      <c r="U12" s="566" t="s">
        <v>876</v>
      </c>
      <c r="V12" s="577"/>
      <c r="W12" s="577"/>
      <c r="X12" s="541"/>
      <c r="Y12" s="541"/>
      <c r="Z12" s="544">
        <v>42255</v>
      </c>
      <c r="AA12" s="576" t="s">
        <v>1411</v>
      </c>
      <c r="AB12" s="566"/>
      <c r="AC12" s="65"/>
    </row>
    <row r="13" spans="1:29" x14ac:dyDescent="0.25">
      <c r="A13" s="4">
        <v>10</v>
      </c>
      <c r="B13" s="62"/>
      <c r="C13" s="403" t="s">
        <v>144</v>
      </c>
      <c r="D13" s="63">
        <v>40036</v>
      </c>
      <c r="E13" s="63">
        <f t="shared" si="1"/>
        <v>40452</v>
      </c>
      <c r="F13" s="64" t="s">
        <v>27</v>
      </c>
      <c r="G13" s="64" t="s">
        <v>103</v>
      </c>
      <c r="H13" s="63">
        <v>40497</v>
      </c>
      <c r="I13" s="64" t="s">
        <v>279</v>
      </c>
      <c r="J13" s="63">
        <f t="shared" si="2"/>
        <v>40913</v>
      </c>
      <c r="K13" s="65" t="s">
        <v>280</v>
      </c>
      <c r="L13" s="76">
        <v>40897</v>
      </c>
      <c r="M13" s="65" t="s">
        <v>254</v>
      </c>
      <c r="N13" s="65"/>
      <c r="O13" s="65"/>
      <c r="P13" s="65"/>
      <c r="Q13" s="399">
        <v>41407</v>
      </c>
      <c r="R13" s="65" t="s">
        <v>876</v>
      </c>
      <c r="S13" s="65"/>
      <c r="T13" s="76">
        <v>41890</v>
      </c>
      <c r="U13" s="566" t="s">
        <v>876</v>
      </c>
      <c r="V13" s="577"/>
      <c r="W13" s="577"/>
      <c r="X13" s="541"/>
      <c r="Y13" s="541"/>
      <c r="Z13" s="544">
        <v>42254</v>
      </c>
      <c r="AA13" s="576" t="s">
        <v>1411</v>
      </c>
      <c r="AB13" s="566"/>
      <c r="AC13" s="65"/>
    </row>
    <row r="14" spans="1:29" ht="75" x14ac:dyDescent="0.25">
      <c r="A14" s="4">
        <v>11</v>
      </c>
      <c r="B14" s="62"/>
      <c r="C14" s="403" t="s">
        <v>145</v>
      </c>
      <c r="D14" s="63">
        <v>40053</v>
      </c>
      <c r="E14" s="63">
        <f t="shared" si="1"/>
        <v>40469</v>
      </c>
      <c r="F14" s="64" t="s">
        <v>182</v>
      </c>
      <c r="G14" s="64" t="s">
        <v>103</v>
      </c>
      <c r="H14" s="63">
        <v>40312</v>
      </c>
      <c r="I14" s="64" t="s">
        <v>210</v>
      </c>
      <c r="J14" s="63">
        <f t="shared" si="2"/>
        <v>40728</v>
      </c>
      <c r="K14" s="63" t="s">
        <v>269</v>
      </c>
      <c r="L14" s="63">
        <v>40674</v>
      </c>
      <c r="M14" s="63" t="s">
        <v>342</v>
      </c>
      <c r="N14" s="65" t="s">
        <v>868</v>
      </c>
      <c r="O14" s="76">
        <v>41037</v>
      </c>
      <c r="P14" s="65" t="s">
        <v>734</v>
      </c>
      <c r="Q14" s="76">
        <v>41190</v>
      </c>
      <c r="R14" s="65" t="s">
        <v>857</v>
      </c>
      <c r="S14" s="65" t="s">
        <v>866</v>
      </c>
      <c r="T14" s="399">
        <v>41499</v>
      </c>
      <c r="U14" s="566" t="s">
        <v>945</v>
      </c>
      <c r="V14" s="578">
        <v>41954</v>
      </c>
      <c r="W14" s="577" t="s">
        <v>1228</v>
      </c>
      <c r="X14" s="544">
        <v>42137</v>
      </c>
      <c r="Y14" s="541" t="s">
        <v>1361</v>
      </c>
      <c r="Z14" s="544">
        <v>42142</v>
      </c>
      <c r="AA14" s="576" t="s">
        <v>1381</v>
      </c>
      <c r="AB14" s="566"/>
      <c r="AC14" s="65"/>
    </row>
    <row r="15" spans="1:29" ht="30" x14ac:dyDescent="0.25">
      <c r="A15" s="4">
        <v>12</v>
      </c>
      <c r="B15" s="62"/>
      <c r="C15" s="403" t="s">
        <v>146</v>
      </c>
      <c r="D15" s="63">
        <v>40053</v>
      </c>
      <c r="E15" s="63">
        <f t="shared" si="1"/>
        <v>40469</v>
      </c>
      <c r="F15" s="64" t="s">
        <v>182</v>
      </c>
      <c r="G15" s="64" t="s">
        <v>103</v>
      </c>
      <c r="H15" s="63">
        <v>40312</v>
      </c>
      <c r="I15" s="64" t="s">
        <v>210</v>
      </c>
      <c r="J15" s="63">
        <f t="shared" si="2"/>
        <v>40728</v>
      </c>
      <c r="K15" s="63" t="s">
        <v>270</v>
      </c>
      <c r="L15" s="63">
        <v>40675</v>
      </c>
      <c r="M15" s="63" t="s">
        <v>342</v>
      </c>
      <c r="N15" s="65" t="s">
        <v>343</v>
      </c>
      <c r="O15" s="76">
        <v>41037</v>
      </c>
      <c r="P15" s="65" t="s">
        <v>733</v>
      </c>
      <c r="Q15" s="76">
        <v>41196</v>
      </c>
      <c r="R15" s="65" t="s">
        <v>856</v>
      </c>
      <c r="S15" s="65"/>
      <c r="T15" s="399">
        <v>41500</v>
      </c>
      <c r="U15" s="566" t="s">
        <v>945</v>
      </c>
      <c r="V15" s="578">
        <v>41954</v>
      </c>
      <c r="W15" s="577" t="s">
        <v>1228</v>
      </c>
      <c r="X15" s="544">
        <v>42137</v>
      </c>
      <c r="Y15" s="541" t="s">
        <v>1382</v>
      </c>
      <c r="Z15" s="544">
        <v>42275</v>
      </c>
      <c r="AA15" s="576" t="s">
        <v>1381</v>
      </c>
      <c r="AB15" s="566"/>
      <c r="AC15" s="65"/>
    </row>
    <row r="16" spans="1:29" x14ac:dyDescent="0.25">
      <c r="A16" s="4">
        <v>13</v>
      </c>
      <c r="B16" s="62"/>
      <c r="C16" s="403" t="s">
        <v>147</v>
      </c>
      <c r="D16" s="63">
        <v>40057</v>
      </c>
      <c r="E16" s="63">
        <f t="shared" si="1"/>
        <v>40473</v>
      </c>
      <c r="F16" s="64" t="s">
        <v>183</v>
      </c>
      <c r="G16" s="64" t="s">
        <v>103</v>
      </c>
      <c r="H16" s="63">
        <v>40541</v>
      </c>
      <c r="I16" s="64" t="s">
        <v>299</v>
      </c>
      <c r="J16" s="63">
        <f t="shared" si="2"/>
        <v>40957</v>
      </c>
      <c r="K16" s="65" t="s">
        <v>300</v>
      </c>
      <c r="L16" s="76">
        <v>40898</v>
      </c>
      <c r="M16" s="65" t="s">
        <v>254</v>
      </c>
      <c r="N16" s="65"/>
      <c r="O16" s="65"/>
      <c r="P16" s="65"/>
      <c r="Q16" s="76">
        <v>41261</v>
      </c>
      <c r="R16" s="65" t="s">
        <v>999</v>
      </c>
      <c r="S16" s="65"/>
      <c r="T16" s="76">
        <v>41932</v>
      </c>
      <c r="U16" s="566" t="s">
        <v>1227</v>
      </c>
      <c r="V16" s="544">
        <v>41946</v>
      </c>
      <c r="W16" s="541" t="s">
        <v>1230</v>
      </c>
      <c r="X16" s="544">
        <v>42142</v>
      </c>
      <c r="Y16" s="541" t="s">
        <v>1383</v>
      </c>
      <c r="Z16" s="544">
        <v>42395</v>
      </c>
      <c r="AA16" s="710" t="s">
        <v>1446</v>
      </c>
      <c r="AB16" s="566"/>
      <c r="AC16" s="65"/>
    </row>
    <row r="17" spans="1:29" x14ac:dyDescent="0.25">
      <c r="A17" s="4">
        <v>14</v>
      </c>
      <c r="B17" s="62"/>
      <c r="C17" s="69" t="s">
        <v>148</v>
      </c>
      <c r="D17" s="63"/>
      <c r="E17" s="63">
        <f t="shared" si="1"/>
        <v>416</v>
      </c>
      <c r="F17" s="64"/>
      <c r="G17" s="64" t="s">
        <v>103</v>
      </c>
      <c r="H17" s="64"/>
      <c r="I17" s="64"/>
      <c r="J17" s="65"/>
      <c r="K17" s="65"/>
      <c r="L17" s="65"/>
      <c r="M17" s="65"/>
      <c r="N17" s="65"/>
      <c r="O17" s="399">
        <v>41289</v>
      </c>
      <c r="P17" s="65" t="s">
        <v>907</v>
      </c>
      <c r="Q17" s="65"/>
      <c r="R17" s="65"/>
      <c r="S17" s="65"/>
      <c r="T17" s="65" t="s">
        <v>1232</v>
      </c>
      <c r="U17" s="566" t="s">
        <v>392</v>
      </c>
      <c r="V17" s="577"/>
      <c r="W17" s="577"/>
      <c r="X17" s="541"/>
      <c r="Y17" s="541"/>
      <c r="Z17" s="541"/>
      <c r="AA17" s="576"/>
      <c r="AB17" s="709">
        <v>42464</v>
      </c>
      <c r="AC17" s="65" t="s">
        <v>1464</v>
      </c>
    </row>
    <row r="18" spans="1:29" x14ac:dyDescent="0.25">
      <c r="A18" s="4">
        <v>15</v>
      </c>
      <c r="B18" s="62"/>
      <c r="C18" s="69" t="s">
        <v>149</v>
      </c>
      <c r="D18" s="63"/>
      <c r="E18" s="63">
        <f t="shared" si="1"/>
        <v>416</v>
      </c>
      <c r="F18" s="64"/>
      <c r="G18" s="64" t="s">
        <v>103</v>
      </c>
      <c r="H18" s="64"/>
      <c r="I18" s="64"/>
      <c r="J18" s="65"/>
      <c r="K18" s="65"/>
      <c r="L18" s="65"/>
      <c r="M18" s="65"/>
      <c r="N18" s="65"/>
      <c r="O18" s="399">
        <v>41290</v>
      </c>
      <c r="P18" s="65" t="s">
        <v>907</v>
      </c>
      <c r="Q18" s="65"/>
      <c r="R18" s="65"/>
      <c r="S18" s="65"/>
      <c r="T18" s="65" t="s">
        <v>1232</v>
      </c>
      <c r="U18" s="566" t="s">
        <v>392</v>
      </c>
      <c r="V18" s="577"/>
      <c r="W18" s="577"/>
      <c r="X18" s="541"/>
      <c r="Y18" s="541"/>
      <c r="Z18" s="541"/>
      <c r="AA18" s="576"/>
      <c r="AB18" s="709">
        <v>42464</v>
      </c>
      <c r="AC18" s="65" t="s">
        <v>1464</v>
      </c>
    </row>
    <row r="19" spans="1:29" x14ac:dyDescent="0.25">
      <c r="A19" s="4">
        <v>16</v>
      </c>
      <c r="B19" s="62"/>
      <c r="C19" s="69" t="s">
        <v>150</v>
      </c>
      <c r="D19" s="63"/>
      <c r="E19" s="63">
        <f t="shared" si="1"/>
        <v>416</v>
      </c>
      <c r="F19" s="64"/>
      <c r="G19" s="64" t="s">
        <v>103</v>
      </c>
      <c r="H19" s="64"/>
      <c r="I19" s="64"/>
      <c r="J19" s="65"/>
      <c r="K19" s="65"/>
      <c r="L19" s="65"/>
      <c r="M19" s="65"/>
      <c r="N19" s="65"/>
      <c r="O19" s="399">
        <v>41291</v>
      </c>
      <c r="P19" s="65" t="s">
        <v>907</v>
      </c>
      <c r="Q19" s="65"/>
      <c r="R19" s="65"/>
      <c r="S19" s="65"/>
      <c r="T19" s="65" t="s">
        <v>1232</v>
      </c>
      <c r="U19" s="566" t="s">
        <v>392</v>
      </c>
      <c r="V19" s="577"/>
      <c r="W19" s="577"/>
      <c r="X19" s="541"/>
      <c r="Y19" s="541"/>
      <c r="Z19" s="541"/>
      <c r="AA19" s="576"/>
      <c r="AB19" s="709">
        <v>42464</v>
      </c>
      <c r="AC19" s="65" t="s">
        <v>1464</v>
      </c>
    </row>
    <row r="20" spans="1:29" x14ac:dyDescent="0.25">
      <c r="A20" s="4">
        <v>17</v>
      </c>
      <c r="B20" s="62"/>
      <c r="C20" s="69" t="s">
        <v>151</v>
      </c>
      <c r="D20" s="63"/>
      <c r="E20" s="63">
        <f t="shared" si="1"/>
        <v>416</v>
      </c>
      <c r="F20" s="64"/>
      <c r="G20" s="64" t="s">
        <v>103</v>
      </c>
      <c r="H20" s="64"/>
      <c r="I20" s="64"/>
      <c r="J20" s="65"/>
      <c r="K20" s="65"/>
      <c r="L20" s="65"/>
      <c r="M20" s="65"/>
      <c r="N20" s="65"/>
      <c r="O20" s="399">
        <v>41292</v>
      </c>
      <c r="P20" s="65" t="s">
        <v>907</v>
      </c>
      <c r="Q20" s="65"/>
      <c r="R20" s="65"/>
      <c r="S20" s="65"/>
      <c r="T20" s="65" t="s">
        <v>1232</v>
      </c>
      <c r="U20" s="566" t="s">
        <v>392</v>
      </c>
      <c r="V20" s="577"/>
      <c r="W20" s="577"/>
      <c r="X20" s="541"/>
      <c r="Y20" s="541"/>
      <c r="Z20" s="541"/>
      <c r="AA20" s="576"/>
      <c r="AB20" s="709">
        <v>42464</v>
      </c>
      <c r="AC20" s="65" t="s">
        <v>1464</v>
      </c>
    </row>
    <row r="21" spans="1:29" x14ac:dyDescent="0.25">
      <c r="A21" s="4">
        <v>18</v>
      </c>
      <c r="B21" s="62"/>
      <c r="C21" s="403" t="s">
        <v>152</v>
      </c>
      <c r="D21" s="63">
        <v>40247</v>
      </c>
      <c r="E21" s="63">
        <f>D21+416</f>
        <v>40663</v>
      </c>
      <c r="F21" s="64" t="s">
        <v>235</v>
      </c>
      <c r="G21" s="64" t="s">
        <v>103</v>
      </c>
      <c r="H21" s="63">
        <v>40553</v>
      </c>
      <c r="I21" s="64" t="s">
        <v>307</v>
      </c>
      <c r="J21" s="63">
        <f>H21+416</f>
        <v>40969</v>
      </c>
      <c r="K21" s="65" t="s">
        <v>711</v>
      </c>
      <c r="L21" s="76">
        <v>40968</v>
      </c>
      <c r="M21" s="65" t="s">
        <v>254</v>
      </c>
      <c r="N21" s="65"/>
      <c r="O21" s="76">
        <v>41008</v>
      </c>
      <c r="P21" s="65" t="s">
        <v>737</v>
      </c>
      <c r="Q21" s="399">
        <v>41484</v>
      </c>
      <c r="R21" s="76" t="s">
        <v>932</v>
      </c>
      <c r="S21" s="65"/>
      <c r="T21" s="76">
        <v>41890</v>
      </c>
      <c r="U21" s="566" t="s">
        <v>854</v>
      </c>
      <c r="V21" s="577"/>
      <c r="W21" s="577"/>
      <c r="X21" s="544" t="s">
        <v>320</v>
      </c>
      <c r="Y21" s="541" t="s">
        <v>1378</v>
      </c>
      <c r="Z21" s="541"/>
      <c r="AA21" s="576"/>
      <c r="AB21" s="566"/>
      <c r="AC21" s="65"/>
    </row>
    <row r="22" spans="1:29" ht="30" x14ac:dyDescent="0.25">
      <c r="A22" s="4">
        <v>19</v>
      </c>
      <c r="B22" s="62"/>
      <c r="C22" s="403" t="s">
        <v>304</v>
      </c>
      <c r="D22" s="63">
        <v>40207</v>
      </c>
      <c r="E22" s="63">
        <f t="shared" si="1"/>
        <v>40623</v>
      </c>
      <c r="F22" s="64" t="s">
        <v>235</v>
      </c>
      <c r="G22" s="64" t="s">
        <v>103</v>
      </c>
      <c r="H22" s="63">
        <v>40547</v>
      </c>
      <c r="I22" s="64" t="s">
        <v>309</v>
      </c>
      <c r="J22" s="63">
        <f>H22+416</f>
        <v>40963</v>
      </c>
      <c r="K22" s="65" t="s">
        <v>306</v>
      </c>
      <c r="L22" s="76">
        <v>40967</v>
      </c>
      <c r="M22" s="65" t="s">
        <v>712</v>
      </c>
      <c r="N22" s="65"/>
      <c r="O22" s="76"/>
      <c r="P22" s="65"/>
      <c r="Q22" s="65"/>
      <c r="R22" s="65"/>
      <c r="S22" s="65"/>
      <c r="T22" s="76">
        <v>41667</v>
      </c>
      <c r="U22" s="566" t="s">
        <v>876</v>
      </c>
      <c r="V22" s="577"/>
      <c r="W22" s="577"/>
      <c r="X22" s="544" t="s">
        <v>1388</v>
      </c>
      <c r="Y22" s="541" t="s">
        <v>1389</v>
      </c>
      <c r="Z22" s="544">
        <v>42446</v>
      </c>
      <c r="AA22" s="576" t="s">
        <v>1453</v>
      </c>
      <c r="AB22" s="566"/>
      <c r="AC22" s="65"/>
    </row>
    <row r="23" spans="1:29" ht="30" x14ac:dyDescent="0.25">
      <c r="A23" s="4">
        <v>20</v>
      </c>
      <c r="B23" s="62"/>
      <c r="C23" s="403" t="s">
        <v>305</v>
      </c>
      <c r="D23" s="63">
        <v>40193</v>
      </c>
      <c r="E23" s="63" t="s">
        <v>320</v>
      </c>
      <c r="F23" s="64" t="s">
        <v>235</v>
      </c>
      <c r="G23" s="64" t="s">
        <v>103</v>
      </c>
      <c r="H23" s="63">
        <v>40547</v>
      </c>
      <c r="I23" s="64" t="s">
        <v>308</v>
      </c>
      <c r="J23" s="63">
        <f>H23+416</f>
        <v>40963</v>
      </c>
      <c r="K23" s="65" t="s">
        <v>1004</v>
      </c>
      <c r="L23" s="76">
        <v>40966</v>
      </c>
      <c r="M23" s="65" t="s">
        <v>235</v>
      </c>
      <c r="N23" s="65" t="s">
        <v>869</v>
      </c>
      <c r="O23" s="76">
        <v>41037</v>
      </c>
      <c r="P23" s="65" t="s">
        <v>731</v>
      </c>
      <c r="Q23" s="76">
        <v>41225</v>
      </c>
      <c r="R23" s="65" t="s">
        <v>1000</v>
      </c>
      <c r="S23" s="65"/>
      <c r="T23" s="65"/>
      <c r="U23" s="566"/>
      <c r="V23" s="577"/>
      <c r="W23" s="577"/>
      <c r="X23" s="541"/>
      <c r="Y23" s="541"/>
      <c r="Z23" s="541"/>
      <c r="AA23" s="576"/>
      <c r="AB23" s="709">
        <v>42444</v>
      </c>
      <c r="AC23" s="65" t="s">
        <v>1458</v>
      </c>
    </row>
    <row r="24" spans="1:29" x14ac:dyDescent="0.25">
      <c r="A24" s="4">
        <v>21</v>
      </c>
      <c r="B24" s="62"/>
      <c r="C24" s="69" t="s">
        <v>153</v>
      </c>
      <c r="D24" s="64"/>
      <c r="E24" s="63">
        <f t="shared" si="1"/>
        <v>416</v>
      </c>
      <c r="F24" s="64"/>
      <c r="G24" s="64" t="s">
        <v>103</v>
      </c>
      <c r="H24" s="64"/>
      <c r="I24" s="64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566"/>
      <c r="V24" s="577"/>
      <c r="W24" s="577"/>
      <c r="X24" s="541"/>
      <c r="Y24" s="541"/>
      <c r="Z24" s="541"/>
      <c r="AA24" s="576"/>
      <c r="AB24" s="566"/>
      <c r="AC24" s="65"/>
    </row>
    <row r="25" spans="1:29" x14ac:dyDescent="0.25">
      <c r="A25" s="4">
        <v>22</v>
      </c>
      <c r="B25" s="62"/>
      <c r="C25" s="69" t="s">
        <v>154</v>
      </c>
      <c r="D25" s="64"/>
      <c r="E25" s="63">
        <f t="shared" si="1"/>
        <v>416</v>
      </c>
      <c r="F25" s="64"/>
      <c r="G25" s="64" t="s">
        <v>103</v>
      </c>
      <c r="H25" s="64"/>
      <c r="I25" s="64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566"/>
      <c r="V25" s="577"/>
      <c r="W25" s="577"/>
      <c r="X25" s="541"/>
      <c r="Y25" s="541"/>
      <c r="Z25" s="541"/>
      <c r="AA25" s="576"/>
      <c r="AB25" s="566"/>
      <c r="AC25" s="65"/>
    </row>
    <row r="26" spans="1:29" ht="30" x14ac:dyDescent="0.25">
      <c r="A26" s="4">
        <v>23</v>
      </c>
      <c r="B26" s="62"/>
      <c r="C26" s="403" t="s">
        <v>155</v>
      </c>
      <c r="D26" s="63">
        <v>40260</v>
      </c>
      <c r="E26" s="63">
        <f t="shared" si="1"/>
        <v>40676</v>
      </c>
      <c r="F26" s="64"/>
      <c r="G26" s="64" t="s">
        <v>103</v>
      </c>
      <c r="H26" s="63">
        <v>40715</v>
      </c>
      <c r="I26" s="64" t="s">
        <v>354</v>
      </c>
      <c r="J26" s="65">
        <v>1</v>
      </c>
      <c r="K26" s="76"/>
      <c r="L26" s="76">
        <v>41133</v>
      </c>
      <c r="M26" s="65" t="s">
        <v>279</v>
      </c>
      <c r="N26" s="65"/>
      <c r="O26" s="76">
        <v>41472</v>
      </c>
      <c r="P26" s="65" t="s">
        <v>982</v>
      </c>
      <c r="Q26" s="399">
        <v>41562</v>
      </c>
      <c r="R26" s="65" t="s">
        <v>1000</v>
      </c>
      <c r="S26" s="65"/>
      <c r="T26" s="76">
        <v>41974</v>
      </c>
      <c r="U26" s="566" t="s">
        <v>876</v>
      </c>
      <c r="V26" s="578">
        <v>42150</v>
      </c>
      <c r="W26" s="577" t="s">
        <v>1377</v>
      </c>
      <c r="X26" s="541"/>
      <c r="Y26" s="541"/>
      <c r="Z26" s="544">
        <v>42506</v>
      </c>
      <c r="AA26" s="710" t="s">
        <v>1472</v>
      </c>
      <c r="AB26" s="709"/>
      <c r="AC26" s="65"/>
    </row>
    <row r="27" spans="1:29" ht="45" x14ac:dyDescent="0.25">
      <c r="A27" s="4">
        <v>24</v>
      </c>
      <c r="B27" s="62"/>
      <c r="C27" s="403" t="s">
        <v>156</v>
      </c>
      <c r="D27" s="63">
        <v>40449</v>
      </c>
      <c r="E27" s="63">
        <f t="shared" si="1"/>
        <v>40865</v>
      </c>
      <c r="F27" s="64" t="s">
        <v>235</v>
      </c>
      <c r="G27" s="64" t="s">
        <v>103</v>
      </c>
      <c r="H27" s="64"/>
      <c r="I27" s="64"/>
      <c r="J27" s="65"/>
      <c r="K27" s="65" t="s">
        <v>253</v>
      </c>
      <c r="L27" s="76">
        <v>40980</v>
      </c>
      <c r="M27" s="65" t="s">
        <v>713</v>
      </c>
      <c r="N27" s="65"/>
      <c r="O27" s="65"/>
      <c r="P27" s="65"/>
      <c r="Q27" s="65"/>
      <c r="R27" s="65"/>
      <c r="S27" s="65"/>
      <c r="T27" s="76">
        <v>41757</v>
      </c>
      <c r="U27" s="566" t="s">
        <v>876</v>
      </c>
      <c r="V27" s="577"/>
      <c r="W27" s="577"/>
      <c r="X27" s="541"/>
      <c r="Y27" s="541"/>
      <c r="Z27" s="541"/>
      <c r="AA27" s="576"/>
      <c r="AB27" s="709">
        <v>42450</v>
      </c>
      <c r="AC27" s="65" t="s">
        <v>1460</v>
      </c>
    </row>
    <row r="28" spans="1:29" ht="45" x14ac:dyDescent="0.25">
      <c r="A28" s="4">
        <v>25</v>
      </c>
      <c r="B28" s="62"/>
      <c r="C28" s="403" t="s">
        <v>157</v>
      </c>
      <c r="D28" s="63">
        <v>40449</v>
      </c>
      <c r="E28" s="63">
        <f t="shared" si="1"/>
        <v>40865</v>
      </c>
      <c r="F28" s="64" t="s">
        <v>235</v>
      </c>
      <c r="G28" s="64" t="s">
        <v>103</v>
      </c>
      <c r="H28" s="64"/>
      <c r="I28" s="64"/>
      <c r="J28" s="65"/>
      <c r="K28" s="65" t="s">
        <v>253</v>
      </c>
      <c r="L28" s="76">
        <v>40980</v>
      </c>
      <c r="M28" s="65" t="s">
        <v>713</v>
      </c>
      <c r="N28" s="65"/>
      <c r="O28" s="65"/>
      <c r="P28" s="65"/>
      <c r="Q28" s="65"/>
      <c r="R28" s="65"/>
      <c r="S28" s="65"/>
      <c r="T28" s="76">
        <v>41757</v>
      </c>
      <c r="U28" s="566" t="s">
        <v>876</v>
      </c>
      <c r="V28" s="577"/>
      <c r="W28" s="577"/>
      <c r="X28" s="541"/>
      <c r="Y28" s="541"/>
      <c r="Z28" s="541"/>
      <c r="AA28" s="576"/>
      <c r="AB28" s="709">
        <v>42450</v>
      </c>
      <c r="AC28" s="65" t="s">
        <v>1460</v>
      </c>
    </row>
    <row r="29" spans="1:29" ht="45" x14ac:dyDescent="0.25">
      <c r="A29" s="4">
        <v>26</v>
      </c>
      <c r="B29" s="62"/>
      <c r="C29" s="403" t="s">
        <v>158</v>
      </c>
      <c r="D29" s="63">
        <v>40449</v>
      </c>
      <c r="E29" s="63">
        <f t="shared" si="1"/>
        <v>40865</v>
      </c>
      <c r="F29" s="64" t="s">
        <v>235</v>
      </c>
      <c r="G29" s="64" t="s">
        <v>103</v>
      </c>
      <c r="H29" s="64"/>
      <c r="I29" s="64"/>
      <c r="J29" s="65"/>
      <c r="K29" s="65" t="s">
        <v>253</v>
      </c>
      <c r="L29" s="76">
        <v>40980</v>
      </c>
      <c r="M29" s="65" t="s">
        <v>713</v>
      </c>
      <c r="N29" s="65"/>
      <c r="O29" s="65"/>
      <c r="P29" s="65"/>
      <c r="Q29" s="65"/>
      <c r="R29" s="65"/>
      <c r="S29" s="65"/>
      <c r="T29" s="76">
        <v>41758</v>
      </c>
      <c r="U29" s="566" t="s">
        <v>1348</v>
      </c>
      <c r="V29" s="577"/>
      <c r="W29" s="577"/>
      <c r="X29" s="541"/>
      <c r="Y29" s="541"/>
      <c r="Z29" s="541"/>
      <c r="AA29" s="576"/>
      <c r="AB29" s="709">
        <v>42451</v>
      </c>
      <c r="AC29" s="65" t="s">
        <v>1460</v>
      </c>
    </row>
    <row r="30" spans="1:29" ht="45" x14ac:dyDescent="0.25">
      <c r="A30" s="4">
        <v>27</v>
      </c>
      <c r="B30" s="62"/>
      <c r="C30" s="403" t="s">
        <v>159</v>
      </c>
      <c r="D30" s="63">
        <v>40449</v>
      </c>
      <c r="E30" s="63">
        <f t="shared" si="1"/>
        <v>40865</v>
      </c>
      <c r="F30" s="64" t="s">
        <v>235</v>
      </c>
      <c r="G30" s="64" t="s">
        <v>103</v>
      </c>
      <c r="H30" s="64"/>
      <c r="I30" s="64"/>
      <c r="J30" s="65"/>
      <c r="K30" s="65" t="s">
        <v>253</v>
      </c>
      <c r="L30" s="76">
        <v>40980</v>
      </c>
      <c r="M30" s="65" t="s">
        <v>713</v>
      </c>
      <c r="N30" s="65"/>
      <c r="O30" s="65"/>
      <c r="P30" s="65"/>
      <c r="Q30" s="65"/>
      <c r="R30" s="65"/>
      <c r="S30" s="65"/>
      <c r="T30" s="76">
        <v>41758</v>
      </c>
      <c r="U30" s="566" t="s">
        <v>876</v>
      </c>
      <c r="V30" s="577"/>
      <c r="W30" s="577"/>
      <c r="X30" s="541"/>
      <c r="Y30" s="541"/>
      <c r="Z30" s="541"/>
      <c r="AA30" s="576"/>
      <c r="AB30" s="709">
        <v>42451</v>
      </c>
      <c r="AC30" s="65" t="s">
        <v>1460</v>
      </c>
    </row>
    <row r="31" spans="1:29" x14ac:dyDescent="0.25">
      <c r="A31" s="4">
        <v>28</v>
      </c>
      <c r="B31" s="62"/>
      <c r="C31" s="403" t="s">
        <v>160</v>
      </c>
      <c r="D31" s="63">
        <v>40371</v>
      </c>
      <c r="E31" s="63">
        <f t="shared" si="1"/>
        <v>40787</v>
      </c>
      <c r="F31" s="64" t="s">
        <v>235</v>
      </c>
      <c r="G31" s="64" t="s">
        <v>103</v>
      </c>
      <c r="H31" s="63">
        <v>40631</v>
      </c>
      <c r="I31" s="64" t="s">
        <v>337</v>
      </c>
      <c r="J31" s="65"/>
      <c r="K31" s="65" t="s">
        <v>242</v>
      </c>
      <c r="L31" s="76">
        <v>40896</v>
      </c>
      <c r="M31" s="65" t="s">
        <v>254</v>
      </c>
      <c r="N31" s="65"/>
      <c r="O31" s="65"/>
      <c r="P31" s="65"/>
      <c r="Q31" s="399">
        <v>41373</v>
      </c>
      <c r="R31" s="65" t="s">
        <v>876</v>
      </c>
      <c r="S31" s="65"/>
      <c r="T31" s="76">
        <v>41715</v>
      </c>
      <c r="U31" s="566" t="s">
        <v>876</v>
      </c>
      <c r="V31" s="577"/>
      <c r="W31" s="577"/>
      <c r="X31" s="544">
        <v>42216</v>
      </c>
      <c r="Y31" s="541" t="s">
        <v>1400</v>
      </c>
      <c r="Z31" s="541"/>
      <c r="AA31" s="576"/>
      <c r="AB31" s="566"/>
      <c r="AC31" s="65"/>
    </row>
    <row r="32" spans="1:29" x14ac:dyDescent="0.25">
      <c r="A32" s="4">
        <v>29</v>
      </c>
      <c r="B32" s="62"/>
      <c r="C32" s="403" t="s">
        <v>161</v>
      </c>
      <c r="D32" s="63">
        <v>40378</v>
      </c>
      <c r="E32" s="63">
        <f t="shared" si="1"/>
        <v>40794</v>
      </c>
      <c r="F32" s="64" t="s">
        <v>235</v>
      </c>
      <c r="G32" s="64" t="s">
        <v>103</v>
      </c>
      <c r="H32" s="63">
        <v>40631</v>
      </c>
      <c r="I32" s="64" t="s">
        <v>337</v>
      </c>
      <c r="J32" s="65"/>
      <c r="K32" s="65" t="s">
        <v>242</v>
      </c>
      <c r="L32" s="76">
        <v>40896</v>
      </c>
      <c r="M32" s="65" t="s">
        <v>254</v>
      </c>
      <c r="N32" s="65"/>
      <c r="O32" s="65"/>
      <c r="P32" s="65"/>
      <c r="Q32" s="76">
        <v>41258</v>
      </c>
      <c r="R32" s="65" t="s">
        <v>876</v>
      </c>
      <c r="S32" s="65"/>
      <c r="T32" s="544">
        <v>41715</v>
      </c>
      <c r="U32" s="576" t="s">
        <v>876</v>
      </c>
      <c r="V32" s="577"/>
      <c r="W32" s="577"/>
      <c r="X32" s="544">
        <v>42216</v>
      </c>
      <c r="Y32" s="541" t="s">
        <v>1401</v>
      </c>
      <c r="Z32" s="541"/>
      <c r="AA32" s="576"/>
      <c r="AB32" s="566"/>
      <c r="AC32" s="65"/>
    </row>
    <row r="33" spans="1:29" x14ac:dyDescent="0.25">
      <c r="A33" s="4">
        <v>30</v>
      </c>
      <c r="B33" s="62"/>
      <c r="C33" s="403" t="s">
        <v>162</v>
      </c>
      <c r="D33" s="63">
        <v>40379</v>
      </c>
      <c r="E33" s="63">
        <f t="shared" si="1"/>
        <v>40795</v>
      </c>
      <c r="F33" s="64" t="s">
        <v>235</v>
      </c>
      <c r="G33" s="64" t="s">
        <v>103</v>
      </c>
      <c r="H33" s="63">
        <v>40631</v>
      </c>
      <c r="I33" s="64" t="s">
        <v>337</v>
      </c>
      <c r="J33" s="65"/>
      <c r="K33" s="65" t="s">
        <v>242</v>
      </c>
      <c r="L33" s="76">
        <v>40897</v>
      </c>
      <c r="M33" s="65" t="s">
        <v>254</v>
      </c>
      <c r="N33" s="65"/>
      <c r="O33" s="65"/>
      <c r="P33" s="65"/>
      <c r="Q33" s="76">
        <v>41258</v>
      </c>
      <c r="R33" s="65" t="s">
        <v>876</v>
      </c>
      <c r="S33" s="65"/>
      <c r="T33" s="544">
        <v>41716</v>
      </c>
      <c r="U33" s="576" t="s">
        <v>876</v>
      </c>
      <c r="V33" s="577"/>
      <c r="W33" s="577"/>
      <c r="X33" s="544">
        <v>42220</v>
      </c>
      <c r="Y33" s="541" t="s">
        <v>1401</v>
      </c>
      <c r="Z33" s="541"/>
      <c r="AA33" s="576"/>
      <c r="AB33" s="566"/>
      <c r="AC33" s="65"/>
    </row>
    <row r="34" spans="1:29" x14ac:dyDescent="0.25">
      <c r="A34" s="4">
        <v>31</v>
      </c>
      <c r="B34" s="753" t="s">
        <v>38</v>
      </c>
      <c r="C34" s="403" t="s">
        <v>163</v>
      </c>
      <c r="D34" s="63">
        <v>40382</v>
      </c>
      <c r="E34" s="63">
        <f t="shared" si="1"/>
        <v>40798</v>
      </c>
      <c r="F34" s="64" t="s">
        <v>235</v>
      </c>
      <c r="G34" s="64" t="s">
        <v>103</v>
      </c>
      <c r="H34" s="63">
        <v>40631</v>
      </c>
      <c r="I34" s="64" t="s">
        <v>337</v>
      </c>
      <c r="J34" s="65"/>
      <c r="K34" s="65" t="s">
        <v>242</v>
      </c>
      <c r="L34" s="76">
        <v>40897</v>
      </c>
      <c r="M34" s="65" t="s">
        <v>254</v>
      </c>
      <c r="N34" s="65"/>
      <c r="O34" s="65"/>
      <c r="P34" s="65"/>
      <c r="Q34" s="76">
        <v>41265</v>
      </c>
      <c r="R34" s="65" t="s">
        <v>876</v>
      </c>
      <c r="S34" s="65"/>
      <c r="T34" s="544">
        <v>41717</v>
      </c>
      <c r="U34" s="576" t="s">
        <v>876</v>
      </c>
      <c r="V34" s="577"/>
      <c r="W34" s="577"/>
      <c r="X34" s="544">
        <v>42215</v>
      </c>
      <c r="Y34" s="541" t="s">
        <v>1401</v>
      </c>
      <c r="Z34" s="541"/>
      <c r="AA34" s="576"/>
      <c r="AB34" s="566"/>
      <c r="AC34" s="65"/>
    </row>
    <row r="35" spans="1:29" ht="41.25" customHeight="1" x14ac:dyDescent="0.25">
      <c r="A35" s="4">
        <v>32</v>
      </c>
      <c r="B35" s="753"/>
      <c r="C35" s="403" t="s">
        <v>164</v>
      </c>
      <c r="D35" s="63">
        <v>40239</v>
      </c>
      <c r="E35" s="63">
        <f t="shared" si="1"/>
        <v>40655</v>
      </c>
      <c r="F35" s="64" t="s">
        <v>183</v>
      </c>
      <c r="G35" s="64" t="s">
        <v>103</v>
      </c>
      <c r="H35" s="63">
        <v>40340</v>
      </c>
      <c r="I35" s="64" t="s">
        <v>208</v>
      </c>
      <c r="J35" s="63">
        <f>H35+416</f>
        <v>40756</v>
      </c>
      <c r="K35" s="63"/>
      <c r="L35" s="63">
        <v>40973</v>
      </c>
      <c r="M35" s="63" t="s">
        <v>721</v>
      </c>
      <c r="N35" s="65"/>
      <c r="O35" s="399">
        <v>41423</v>
      </c>
      <c r="P35" s="65" t="s">
        <v>992</v>
      </c>
      <c r="Q35" s="65"/>
      <c r="R35" s="65"/>
      <c r="S35" s="65"/>
      <c r="T35" s="76">
        <v>41645</v>
      </c>
      <c r="U35" s="566" t="s">
        <v>876</v>
      </c>
      <c r="V35" s="578">
        <v>41884</v>
      </c>
      <c r="W35" s="577" t="s">
        <v>876</v>
      </c>
      <c r="X35" s="544">
        <v>42118</v>
      </c>
      <c r="Y35" s="541" t="s">
        <v>392</v>
      </c>
      <c r="Z35" s="541"/>
      <c r="AA35" s="576"/>
      <c r="AB35" s="709">
        <v>42402</v>
      </c>
      <c r="AC35" s="65" t="s">
        <v>1449</v>
      </c>
    </row>
    <row r="36" spans="1:29" ht="35.25" customHeight="1" x14ac:dyDescent="0.25">
      <c r="A36" s="4">
        <v>33</v>
      </c>
      <c r="B36" s="753" t="s">
        <v>26</v>
      </c>
      <c r="C36" s="403" t="s">
        <v>165</v>
      </c>
      <c r="D36" s="63">
        <v>40269</v>
      </c>
      <c r="E36" s="63">
        <f t="shared" si="1"/>
        <v>40685</v>
      </c>
      <c r="F36" s="64" t="s">
        <v>185</v>
      </c>
      <c r="G36" s="64" t="s">
        <v>103</v>
      </c>
      <c r="H36" s="63">
        <v>40588</v>
      </c>
      <c r="I36" s="64" t="s">
        <v>322</v>
      </c>
      <c r="J36" s="65"/>
      <c r="K36" s="65"/>
      <c r="L36" s="76">
        <v>40730</v>
      </c>
      <c r="M36" s="65" t="s">
        <v>1003</v>
      </c>
      <c r="N36" s="65"/>
      <c r="O36" s="65"/>
      <c r="P36" s="65"/>
      <c r="Q36" s="399">
        <v>41458</v>
      </c>
      <c r="R36" s="65" t="s">
        <v>1001</v>
      </c>
      <c r="S36" s="65"/>
      <c r="T36" s="65"/>
      <c r="U36" s="566"/>
      <c r="V36" s="577"/>
      <c r="W36" s="577"/>
      <c r="X36" s="541"/>
      <c r="Y36" s="541"/>
      <c r="Z36" s="544">
        <v>42396</v>
      </c>
      <c r="AA36" s="576" t="s">
        <v>1448</v>
      </c>
      <c r="AB36" s="566"/>
      <c r="AC36" s="65"/>
    </row>
    <row r="37" spans="1:29" ht="30" x14ac:dyDescent="0.25">
      <c r="A37" s="4">
        <v>34</v>
      </c>
      <c r="B37" s="753"/>
      <c r="C37" s="69" t="s">
        <v>166</v>
      </c>
      <c r="D37" s="63">
        <v>40186</v>
      </c>
      <c r="E37" s="63">
        <f t="shared" si="1"/>
        <v>40602</v>
      </c>
      <c r="F37" s="64" t="s">
        <v>184</v>
      </c>
      <c r="G37" s="64" t="s">
        <v>103</v>
      </c>
      <c r="H37" s="63">
        <v>40739</v>
      </c>
      <c r="I37" s="64" t="s">
        <v>359</v>
      </c>
      <c r="J37" s="65"/>
      <c r="K37" s="65"/>
      <c r="L37" s="76">
        <v>40828</v>
      </c>
      <c r="M37" s="65" t="s">
        <v>369</v>
      </c>
      <c r="N37" s="65"/>
      <c r="O37" s="65"/>
      <c r="P37" s="65"/>
      <c r="Q37" s="65"/>
      <c r="R37" s="65"/>
      <c r="S37" s="65"/>
      <c r="T37" s="65"/>
      <c r="U37" s="566"/>
      <c r="V37" s="577"/>
      <c r="W37" s="577"/>
      <c r="X37" s="541"/>
      <c r="Y37" s="541"/>
      <c r="Z37" s="541"/>
      <c r="AA37" s="576"/>
      <c r="AB37" s="566"/>
      <c r="AC37" s="65"/>
    </row>
    <row r="38" spans="1:29" ht="30" x14ac:dyDescent="0.25">
      <c r="A38" s="4">
        <v>35</v>
      </c>
      <c r="B38" s="66" t="s">
        <v>39</v>
      </c>
      <c r="C38" s="69" t="s">
        <v>167</v>
      </c>
      <c r="D38" s="64"/>
      <c r="E38" s="63">
        <f t="shared" si="1"/>
        <v>416</v>
      </c>
      <c r="F38" s="64"/>
      <c r="G38" s="64" t="s">
        <v>103</v>
      </c>
      <c r="H38" s="63">
        <v>40505</v>
      </c>
      <c r="I38" s="64" t="s">
        <v>287</v>
      </c>
      <c r="J38" s="65"/>
      <c r="K38" s="65"/>
      <c r="L38" s="65"/>
      <c r="M38" s="65"/>
      <c r="N38" s="65"/>
      <c r="O38" s="65"/>
      <c r="P38" s="65"/>
      <c r="Q38" s="76">
        <v>41180</v>
      </c>
      <c r="R38" s="65" t="s">
        <v>907</v>
      </c>
      <c r="S38" s="65"/>
      <c r="T38" s="65"/>
      <c r="U38" s="566"/>
      <c r="V38" s="577"/>
      <c r="W38" s="577"/>
      <c r="X38" s="541"/>
      <c r="Y38" s="541"/>
      <c r="Z38" s="541"/>
      <c r="AA38" s="576"/>
      <c r="AB38" s="566"/>
      <c r="AC38" s="65"/>
    </row>
    <row r="39" spans="1:29" x14ac:dyDescent="0.25">
      <c r="A39" s="4">
        <v>36</v>
      </c>
      <c r="B39" s="66"/>
      <c r="C39" s="69" t="s">
        <v>168</v>
      </c>
      <c r="D39" s="67">
        <v>40203</v>
      </c>
      <c r="E39" s="63">
        <f t="shared" si="1"/>
        <v>40619</v>
      </c>
      <c r="F39" s="64" t="s">
        <v>27</v>
      </c>
      <c r="G39" s="64" t="s">
        <v>103</v>
      </c>
      <c r="H39" s="63">
        <v>40574</v>
      </c>
      <c r="I39" s="64" t="s">
        <v>318</v>
      </c>
      <c r="J39" s="65"/>
      <c r="K39" s="65"/>
      <c r="L39" s="65"/>
      <c r="M39" s="65"/>
      <c r="N39" s="65"/>
      <c r="O39" s="65"/>
      <c r="P39" s="65"/>
      <c r="Q39" s="76">
        <v>41181</v>
      </c>
      <c r="R39" s="65" t="s">
        <v>907</v>
      </c>
      <c r="S39" s="65"/>
      <c r="T39" s="76">
        <v>41673</v>
      </c>
      <c r="U39" s="566" t="s">
        <v>1217</v>
      </c>
      <c r="V39" s="577"/>
      <c r="W39" s="577"/>
      <c r="X39" s="541"/>
      <c r="Y39" s="541"/>
      <c r="Z39" s="541"/>
      <c r="AA39" s="576"/>
      <c r="AB39" s="566"/>
      <c r="AC39" s="65"/>
    </row>
    <row r="40" spans="1:29" ht="15.75" thickBot="1" x14ac:dyDescent="0.3">
      <c r="A40" s="8">
        <v>37</v>
      </c>
      <c r="B40" s="66"/>
      <c r="C40" s="69" t="s">
        <v>169</v>
      </c>
      <c r="D40" s="63">
        <v>40203</v>
      </c>
      <c r="E40" s="63">
        <f t="shared" si="1"/>
        <v>40619</v>
      </c>
      <c r="F40" s="64"/>
      <c r="G40" s="64" t="s">
        <v>103</v>
      </c>
      <c r="H40" s="63">
        <v>40511</v>
      </c>
      <c r="I40" s="64" t="s">
        <v>288</v>
      </c>
      <c r="J40" s="65" t="s">
        <v>324</v>
      </c>
      <c r="K40" s="65"/>
      <c r="L40" s="65"/>
      <c r="M40" s="65"/>
      <c r="N40" s="65"/>
      <c r="O40" s="65"/>
      <c r="P40" s="65"/>
      <c r="Q40" s="76">
        <v>41182</v>
      </c>
      <c r="R40" s="65" t="s">
        <v>907</v>
      </c>
      <c r="S40" s="65"/>
      <c r="T40" s="65"/>
      <c r="U40" s="566"/>
      <c r="V40" s="577"/>
      <c r="W40" s="577"/>
      <c r="X40" s="541"/>
      <c r="Y40" s="541"/>
      <c r="Z40" s="541"/>
      <c r="AA40" s="576"/>
      <c r="AB40" s="566"/>
      <c r="AC40" s="65"/>
    </row>
    <row r="41" spans="1:29" ht="30" x14ac:dyDescent="0.25">
      <c r="A41" s="19">
        <v>38</v>
      </c>
      <c r="B41" s="66"/>
      <c r="C41" s="69" t="s">
        <v>170</v>
      </c>
      <c r="D41" s="63">
        <v>40203</v>
      </c>
      <c r="E41" s="63">
        <f t="shared" si="1"/>
        <v>40619</v>
      </c>
      <c r="F41" s="64"/>
      <c r="G41" s="64"/>
      <c r="H41" s="63">
        <v>40374</v>
      </c>
      <c r="I41" s="64" t="s">
        <v>236</v>
      </c>
      <c r="J41" s="65" t="s">
        <v>324</v>
      </c>
      <c r="K41" s="65"/>
      <c r="L41" s="65"/>
      <c r="M41" s="65"/>
      <c r="N41" s="65"/>
      <c r="O41" s="76">
        <v>41183</v>
      </c>
      <c r="P41" s="65" t="s">
        <v>859</v>
      </c>
      <c r="Q41" s="399"/>
      <c r="R41" s="65"/>
      <c r="S41" s="65"/>
      <c r="T41" s="65"/>
      <c r="U41" s="566"/>
      <c r="V41" s="577"/>
      <c r="W41" s="577"/>
      <c r="X41" s="541"/>
      <c r="Y41" s="541"/>
      <c r="Z41" s="541"/>
      <c r="AA41" s="576"/>
      <c r="AB41" s="566"/>
      <c r="AC41" s="65"/>
    </row>
    <row r="42" spans="1:29" x14ac:dyDescent="0.25">
      <c r="A42" s="4">
        <v>39</v>
      </c>
      <c r="B42" s="66"/>
      <c r="C42" s="69" t="s">
        <v>171</v>
      </c>
      <c r="D42" s="63">
        <v>40235</v>
      </c>
      <c r="E42" s="63">
        <f t="shared" si="1"/>
        <v>40651</v>
      </c>
      <c r="F42" s="64"/>
      <c r="G42" s="64"/>
      <c r="H42" s="63"/>
      <c r="I42" s="64"/>
      <c r="J42" s="65"/>
      <c r="K42" s="65" t="s">
        <v>334</v>
      </c>
      <c r="L42" s="76">
        <v>40967</v>
      </c>
      <c r="M42" s="65" t="s">
        <v>333</v>
      </c>
      <c r="N42" s="65"/>
      <c r="O42" s="65"/>
      <c r="P42" s="65"/>
      <c r="Q42" s="399">
        <v>41484</v>
      </c>
      <c r="R42" s="65" t="s">
        <v>933</v>
      </c>
      <c r="S42" s="65"/>
      <c r="T42" s="76">
        <v>41975</v>
      </c>
      <c r="U42" s="566" t="s">
        <v>876</v>
      </c>
      <c r="V42" s="577"/>
      <c r="W42" s="577"/>
      <c r="X42" s="544">
        <v>42360</v>
      </c>
      <c r="Y42" s="541" t="s">
        <v>1436</v>
      </c>
      <c r="Z42" s="541"/>
      <c r="AA42" s="576"/>
      <c r="AB42" s="566"/>
      <c r="AC42" s="65"/>
    </row>
    <row r="43" spans="1:29" ht="45" x14ac:dyDescent="0.25">
      <c r="A43" s="4">
        <v>40</v>
      </c>
      <c r="B43" s="66"/>
      <c r="C43" s="69" t="s">
        <v>172</v>
      </c>
      <c r="D43" s="63">
        <v>40257</v>
      </c>
      <c r="E43" s="63">
        <f t="shared" si="1"/>
        <v>40673</v>
      </c>
      <c r="F43" s="64" t="s">
        <v>365</v>
      </c>
      <c r="G43" s="64"/>
      <c r="H43" s="64"/>
      <c r="I43" s="64"/>
      <c r="J43" s="65"/>
      <c r="K43" s="65"/>
      <c r="L43" s="65"/>
      <c r="M43" s="65"/>
      <c r="N43" s="65"/>
      <c r="O43" s="65"/>
      <c r="P43" s="65"/>
      <c r="Q43" s="65" t="s">
        <v>1008</v>
      </c>
      <c r="R43" s="65" t="s">
        <v>1009</v>
      </c>
      <c r="S43" s="65"/>
      <c r="T43" s="76">
        <v>41694</v>
      </c>
      <c r="U43" s="566" t="s">
        <v>1214</v>
      </c>
      <c r="V43" s="578">
        <v>41869</v>
      </c>
      <c r="W43" s="577" t="s">
        <v>1222</v>
      </c>
      <c r="X43" s="541"/>
      <c r="Y43" s="541"/>
      <c r="Z43" s="541"/>
      <c r="AA43" s="576"/>
      <c r="AB43" s="709">
        <v>42419</v>
      </c>
      <c r="AC43" s="65" t="s">
        <v>1451</v>
      </c>
    </row>
    <row r="44" spans="1:29" ht="45" x14ac:dyDescent="0.25">
      <c r="A44" s="4">
        <v>41</v>
      </c>
      <c r="B44" s="66"/>
      <c r="C44" s="69" t="s">
        <v>173</v>
      </c>
      <c r="D44" s="63">
        <v>40235</v>
      </c>
      <c r="E44" s="63">
        <f t="shared" si="1"/>
        <v>40651</v>
      </c>
      <c r="F44" s="64"/>
      <c r="G44" s="64"/>
      <c r="H44" s="63">
        <v>40541</v>
      </c>
      <c r="I44" s="64" t="s">
        <v>302</v>
      </c>
      <c r="J44" s="76">
        <v>40546</v>
      </c>
      <c r="K44" s="65" t="s">
        <v>303</v>
      </c>
      <c r="L44" s="65"/>
      <c r="M44" s="65"/>
      <c r="N44" s="65"/>
      <c r="O44" s="76">
        <v>41001</v>
      </c>
      <c r="P44" s="65" t="s">
        <v>741</v>
      </c>
      <c r="Q44" s="399">
        <v>41360</v>
      </c>
      <c r="R44" s="65" t="s">
        <v>741</v>
      </c>
      <c r="S44" s="65"/>
      <c r="T44" s="76">
        <v>41865</v>
      </c>
      <c r="U44" s="566" t="s">
        <v>1223</v>
      </c>
      <c r="V44" s="577"/>
      <c r="W44" s="577"/>
      <c r="X44" s="544">
        <v>42087</v>
      </c>
      <c r="Y44" s="541" t="s">
        <v>1319</v>
      </c>
      <c r="Z44" s="544">
        <v>42403</v>
      </c>
      <c r="AA44" s="576" t="s">
        <v>1455</v>
      </c>
      <c r="AB44" s="566"/>
      <c r="AC44" s="65"/>
    </row>
    <row r="45" spans="1:29" ht="45" x14ac:dyDescent="0.25">
      <c r="A45" s="4">
        <v>42</v>
      </c>
      <c r="B45" s="66"/>
      <c r="C45" s="69" t="s">
        <v>174</v>
      </c>
      <c r="D45" s="64"/>
      <c r="E45" s="63">
        <f t="shared" si="1"/>
        <v>416</v>
      </c>
      <c r="F45" s="64"/>
      <c r="G45" s="64"/>
      <c r="H45" s="64"/>
      <c r="I45" s="64"/>
      <c r="J45" s="76">
        <v>40708</v>
      </c>
      <c r="K45" s="65" t="s">
        <v>352</v>
      </c>
      <c r="L45" s="76">
        <v>40751</v>
      </c>
      <c r="M45" s="65" t="s">
        <v>361</v>
      </c>
      <c r="N45" s="65"/>
      <c r="O45" s="65"/>
      <c r="P45" s="65"/>
      <c r="Q45" s="76">
        <v>41540</v>
      </c>
      <c r="R45" s="65" t="s">
        <v>1012</v>
      </c>
      <c r="S45" s="65"/>
      <c r="T45" s="76">
        <v>41946</v>
      </c>
      <c r="U45" s="566" t="s">
        <v>1229</v>
      </c>
      <c r="V45" s="577"/>
      <c r="W45" s="577"/>
      <c r="X45" s="544">
        <v>41947</v>
      </c>
      <c r="Y45" s="541" t="s">
        <v>1231</v>
      </c>
      <c r="Z45" s="544">
        <v>42360</v>
      </c>
      <c r="AA45" s="576" t="s">
        <v>1437</v>
      </c>
      <c r="AB45" s="709">
        <v>42464</v>
      </c>
      <c r="AC45" s="65" t="s">
        <v>1465</v>
      </c>
    </row>
    <row r="46" spans="1:29" x14ac:dyDescent="0.25">
      <c r="A46" s="4">
        <v>43</v>
      </c>
      <c r="B46" s="66"/>
      <c r="C46" s="69" t="s">
        <v>722</v>
      </c>
      <c r="D46" s="64"/>
      <c r="E46" s="63">
        <f t="shared" si="1"/>
        <v>416</v>
      </c>
      <c r="F46" s="64"/>
      <c r="G46" s="64"/>
      <c r="H46" s="64"/>
      <c r="I46" s="64"/>
      <c r="J46" s="65"/>
      <c r="K46" s="65"/>
      <c r="L46" s="76">
        <v>40974</v>
      </c>
      <c r="M46" s="65" t="s">
        <v>723</v>
      </c>
      <c r="N46" s="65"/>
      <c r="O46" s="65"/>
      <c r="P46" s="65"/>
      <c r="Q46" s="65"/>
      <c r="R46" s="65"/>
      <c r="S46" s="65"/>
      <c r="T46" s="65"/>
      <c r="U46" s="566"/>
      <c r="V46" s="577"/>
      <c r="W46" s="577"/>
      <c r="X46" s="541"/>
      <c r="Y46" s="541"/>
      <c r="Z46" s="541"/>
      <c r="AA46" s="576"/>
      <c r="AB46" s="566"/>
      <c r="AC46" s="65"/>
    </row>
    <row r="47" spans="1:29" ht="30" x14ac:dyDescent="0.25">
      <c r="A47" s="4">
        <v>44</v>
      </c>
      <c r="B47" s="66"/>
      <c r="C47" s="403" t="s">
        <v>176</v>
      </c>
      <c r="D47" s="63">
        <v>40232</v>
      </c>
      <c r="E47" s="63">
        <f t="shared" si="1"/>
        <v>40648</v>
      </c>
      <c r="F47" s="64"/>
      <c r="G47" s="64"/>
      <c r="H47" s="63">
        <v>40582</v>
      </c>
      <c r="I47" s="64" t="s">
        <v>317</v>
      </c>
      <c r="J47" s="76">
        <v>40715</v>
      </c>
      <c r="K47" s="65" t="s">
        <v>353</v>
      </c>
      <c r="L47" s="65"/>
      <c r="M47" s="65"/>
      <c r="N47" s="65"/>
      <c r="O47" s="76">
        <v>41110</v>
      </c>
      <c r="P47" s="65" t="s">
        <v>768</v>
      </c>
      <c r="Q47" s="65"/>
      <c r="R47" s="65"/>
      <c r="S47" s="65"/>
      <c r="T47" s="65"/>
      <c r="U47" s="566"/>
      <c r="V47" s="577"/>
      <c r="W47" s="577"/>
      <c r="X47" s="544">
        <v>42031</v>
      </c>
      <c r="Y47" s="541" t="s">
        <v>1372</v>
      </c>
      <c r="Z47" s="541"/>
      <c r="AA47" s="576"/>
      <c r="AB47" s="709">
        <v>42408</v>
      </c>
      <c r="AC47" s="65" t="s">
        <v>876</v>
      </c>
    </row>
    <row r="48" spans="1:29" ht="30" x14ac:dyDescent="0.25">
      <c r="A48" s="4">
        <v>45</v>
      </c>
      <c r="B48" s="66"/>
      <c r="C48" s="403" t="s">
        <v>177</v>
      </c>
      <c r="D48" s="63">
        <v>40232</v>
      </c>
      <c r="E48" s="63">
        <f t="shared" si="1"/>
        <v>40648</v>
      </c>
      <c r="F48" s="64"/>
      <c r="G48" s="64"/>
      <c r="H48" s="64"/>
      <c r="I48" s="64"/>
      <c r="J48" s="76">
        <v>40729</v>
      </c>
      <c r="K48" s="65" t="s">
        <v>353</v>
      </c>
      <c r="L48" s="65"/>
      <c r="M48" s="65"/>
      <c r="N48" s="65"/>
      <c r="O48" s="76">
        <v>41110</v>
      </c>
      <c r="P48" s="65" t="s">
        <v>768</v>
      </c>
      <c r="Q48" s="65"/>
      <c r="R48" s="65"/>
      <c r="S48" s="65"/>
      <c r="T48" s="65"/>
      <c r="U48" s="566"/>
      <c r="V48" s="577"/>
      <c r="W48" s="577"/>
      <c r="X48" s="541"/>
      <c r="Y48" s="541"/>
      <c r="Z48" s="541"/>
      <c r="AA48" s="576"/>
      <c r="AB48" s="709">
        <v>42409</v>
      </c>
      <c r="AC48" s="65" t="s">
        <v>876</v>
      </c>
    </row>
    <row r="49" spans="1:29" x14ac:dyDescent="0.25">
      <c r="A49" s="4">
        <v>46</v>
      </c>
      <c r="B49" s="66"/>
      <c r="C49" s="69" t="s">
        <v>178</v>
      </c>
      <c r="D49" s="64"/>
      <c r="E49" s="63">
        <f t="shared" si="1"/>
        <v>416</v>
      </c>
      <c r="F49" s="64"/>
      <c r="G49" s="64"/>
      <c r="H49" s="63">
        <v>40637</v>
      </c>
      <c r="I49" s="64" t="s">
        <v>345</v>
      </c>
      <c r="J49" s="65"/>
      <c r="K49" s="65"/>
      <c r="L49" s="65"/>
      <c r="M49" s="65"/>
      <c r="N49" s="76"/>
      <c r="O49" s="76">
        <v>41036</v>
      </c>
      <c r="P49" s="65" t="s">
        <v>732</v>
      </c>
      <c r="Q49" s="76">
        <v>41219</v>
      </c>
      <c r="R49" s="65" t="s">
        <v>865</v>
      </c>
      <c r="S49" s="65"/>
      <c r="T49" s="76">
        <v>41652</v>
      </c>
      <c r="U49" s="566" t="s">
        <v>1213</v>
      </c>
      <c r="V49" s="577"/>
      <c r="W49" s="577"/>
      <c r="X49" s="541"/>
      <c r="Y49" s="541"/>
      <c r="Z49" s="541"/>
      <c r="AA49" s="576"/>
      <c r="AB49" s="566"/>
      <c r="AC49" s="65"/>
    </row>
    <row r="50" spans="1:29" x14ac:dyDescent="0.25">
      <c r="A50" s="4">
        <v>47</v>
      </c>
      <c r="B50" s="66"/>
      <c r="C50" s="69" t="s">
        <v>179</v>
      </c>
      <c r="D50" s="63">
        <v>40235</v>
      </c>
      <c r="E50" s="63">
        <f t="shared" si="1"/>
        <v>40651</v>
      </c>
      <c r="F50" s="64"/>
      <c r="G50" s="64"/>
      <c r="H50" s="64"/>
      <c r="I50" s="64"/>
      <c r="J50" s="65"/>
      <c r="K50" s="65"/>
      <c r="L50" s="65"/>
      <c r="M50" s="65"/>
      <c r="N50" s="65"/>
      <c r="O50" s="65"/>
      <c r="P50" s="65"/>
      <c r="Q50" s="399">
        <v>41485</v>
      </c>
      <c r="R50" s="65" t="s">
        <v>946</v>
      </c>
      <c r="S50" s="65"/>
      <c r="T50" s="65"/>
      <c r="U50" s="566"/>
      <c r="V50" s="577"/>
      <c r="W50" s="577"/>
      <c r="X50" s="541"/>
      <c r="Y50" s="541"/>
      <c r="Z50" s="541"/>
      <c r="AA50" s="576"/>
      <c r="AB50" s="566"/>
      <c r="AC50" s="65"/>
    </row>
    <row r="51" spans="1:29" ht="45" x14ac:dyDescent="0.25">
      <c r="A51" s="4">
        <v>48</v>
      </c>
      <c r="B51" s="66"/>
      <c r="C51" s="70" t="s">
        <v>110</v>
      </c>
      <c r="D51" s="64"/>
      <c r="E51" s="63">
        <f t="shared" si="1"/>
        <v>416</v>
      </c>
      <c r="F51" s="64"/>
      <c r="G51" s="64"/>
      <c r="H51" s="64"/>
      <c r="I51" s="64"/>
      <c r="J51" s="63">
        <v>40827</v>
      </c>
      <c r="K51" s="65" t="s">
        <v>370</v>
      </c>
      <c r="L51" s="65"/>
      <c r="M51" s="65"/>
      <c r="N51" s="65"/>
      <c r="O51" s="76">
        <v>41016</v>
      </c>
      <c r="P51" s="65" t="s">
        <v>736</v>
      </c>
      <c r="Q51" s="76">
        <v>41192</v>
      </c>
      <c r="R51" s="65" t="s">
        <v>858</v>
      </c>
      <c r="S51" s="65"/>
      <c r="T51" s="65"/>
      <c r="U51" s="566"/>
      <c r="V51" s="577"/>
      <c r="W51" s="577"/>
      <c r="X51" s="541"/>
      <c r="Y51" s="541"/>
      <c r="Z51" s="541"/>
      <c r="AA51" s="576"/>
      <c r="AB51" s="566"/>
      <c r="AC51" s="65"/>
    </row>
    <row r="52" spans="1:29" x14ac:dyDescent="0.25">
      <c r="A52" s="4">
        <v>49</v>
      </c>
      <c r="B52" s="66"/>
      <c r="C52" s="86" t="s">
        <v>180</v>
      </c>
      <c r="D52" s="64"/>
      <c r="E52" s="87">
        <f t="shared" si="1"/>
        <v>416</v>
      </c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566"/>
      <c r="V52" s="577"/>
      <c r="W52" s="577"/>
      <c r="X52" s="541"/>
      <c r="Y52" s="541"/>
      <c r="Z52" s="541"/>
      <c r="AA52" s="576"/>
      <c r="AB52" s="566"/>
      <c r="AC52" s="65"/>
    </row>
    <row r="53" spans="1:29" ht="45" x14ac:dyDescent="0.25">
      <c r="A53" s="4">
        <v>50</v>
      </c>
      <c r="B53" s="121"/>
      <c r="C53" s="89" t="s">
        <v>181</v>
      </c>
      <c r="D53" s="63">
        <v>40301</v>
      </c>
      <c r="E53" s="90">
        <f>D53+416</f>
        <v>40717</v>
      </c>
      <c r="F53" s="64" t="s">
        <v>272</v>
      </c>
      <c r="G53" s="64"/>
      <c r="H53" s="63">
        <v>40540</v>
      </c>
      <c r="I53" s="64" t="s">
        <v>298</v>
      </c>
      <c r="J53" s="63">
        <v>40660</v>
      </c>
      <c r="K53" s="65" t="s">
        <v>344</v>
      </c>
      <c r="L53" s="76">
        <v>40987</v>
      </c>
      <c r="M53" s="65" t="s">
        <v>720</v>
      </c>
      <c r="N53" s="65"/>
      <c r="O53" s="76">
        <v>41052</v>
      </c>
      <c r="P53" s="65" t="s">
        <v>750</v>
      </c>
      <c r="Q53" s="65"/>
      <c r="R53" s="65"/>
      <c r="S53" s="65"/>
      <c r="T53" s="76">
        <v>41702</v>
      </c>
      <c r="U53" s="566" t="s">
        <v>1216</v>
      </c>
      <c r="V53" s="577"/>
      <c r="W53" s="577"/>
      <c r="X53" s="544">
        <v>42135</v>
      </c>
      <c r="Y53" s="541" t="s">
        <v>1387</v>
      </c>
      <c r="Z53" s="541"/>
      <c r="AA53" s="576"/>
      <c r="AB53" s="566"/>
      <c r="AC53" s="65"/>
    </row>
    <row r="54" spans="1:29" x14ac:dyDescent="0.25">
      <c r="A54" s="4">
        <v>51</v>
      </c>
      <c r="B54" s="121"/>
      <c r="C54" s="120" t="s">
        <v>207</v>
      </c>
      <c r="D54" s="64"/>
      <c r="E54" s="88">
        <f>D54+416</f>
        <v>416</v>
      </c>
      <c r="F54" s="64"/>
      <c r="G54" s="64"/>
      <c r="H54" s="64"/>
      <c r="I54" s="64"/>
      <c r="J54" s="64"/>
      <c r="K54" s="83"/>
      <c r="L54" s="65"/>
      <c r="M54" s="65"/>
      <c r="N54" s="65"/>
      <c r="O54" s="65"/>
      <c r="P54" s="65"/>
      <c r="Q54" s="399">
        <v>41383</v>
      </c>
      <c r="R54" s="65" t="s">
        <v>908</v>
      </c>
      <c r="S54" s="65"/>
      <c r="T54" s="65"/>
      <c r="U54" s="566"/>
      <c r="V54" s="577"/>
      <c r="W54" s="577"/>
      <c r="X54" s="541"/>
      <c r="Y54" s="541"/>
      <c r="Z54" s="541"/>
      <c r="AA54" s="576"/>
      <c r="AB54" s="566"/>
      <c r="AC54" s="65"/>
    </row>
    <row r="55" spans="1:29" x14ac:dyDescent="0.25">
      <c r="A55" s="4">
        <v>52</v>
      </c>
      <c r="B55" s="121"/>
      <c r="C55" s="89" t="s">
        <v>319</v>
      </c>
      <c r="D55" s="118">
        <v>40190</v>
      </c>
      <c r="E55" s="88">
        <f>D55+416</f>
        <v>40606</v>
      </c>
      <c r="F55" s="64" t="s">
        <v>204</v>
      </c>
      <c r="G55" s="64"/>
      <c r="H55" s="63">
        <v>40561</v>
      </c>
      <c r="I55" s="64" t="s">
        <v>235</v>
      </c>
      <c r="J55" s="64"/>
      <c r="K55" s="64"/>
      <c r="L55" s="65"/>
      <c r="M55" s="64"/>
      <c r="N55" s="65"/>
      <c r="O55" s="76">
        <v>40996</v>
      </c>
      <c r="P55" s="65" t="s">
        <v>333</v>
      </c>
      <c r="Q55" s="65"/>
      <c r="R55" s="65"/>
      <c r="S55" s="65"/>
      <c r="T55" s="65"/>
      <c r="U55" s="566"/>
      <c r="V55" s="577"/>
      <c r="W55" s="577"/>
      <c r="X55" s="541"/>
      <c r="Y55" s="541"/>
      <c r="Z55" s="541"/>
      <c r="AA55" s="576"/>
      <c r="AB55" s="566"/>
      <c r="AC55" s="65"/>
    </row>
    <row r="56" spans="1:29" x14ac:dyDescent="0.25">
      <c r="A56" s="4">
        <v>53</v>
      </c>
      <c r="B56" s="121"/>
      <c r="C56" s="89"/>
      <c r="D56" s="119"/>
      <c r="E56" s="64"/>
      <c r="F56" s="64"/>
      <c r="G56" s="64"/>
      <c r="H56" s="64"/>
      <c r="I56" s="64"/>
      <c r="J56" s="64"/>
      <c r="K56" s="64"/>
      <c r="L56" s="64"/>
      <c r="M56" s="64"/>
      <c r="N56" s="65"/>
      <c r="O56" s="65"/>
      <c r="P56" s="65"/>
      <c r="Q56" s="65"/>
      <c r="R56" s="65"/>
      <c r="S56" s="65"/>
      <c r="T56" s="65"/>
      <c r="U56" s="566"/>
      <c r="V56" s="577"/>
      <c r="W56" s="577"/>
      <c r="X56" s="541"/>
      <c r="Y56" s="541"/>
      <c r="Z56" s="541"/>
      <c r="AA56" s="576"/>
      <c r="AB56" s="566"/>
      <c r="AC56" s="65"/>
    </row>
    <row r="57" spans="1:29" x14ac:dyDescent="0.25">
      <c r="A57" s="4">
        <v>54</v>
      </c>
      <c r="B57" s="121"/>
      <c r="C57" s="119" t="s">
        <v>332</v>
      </c>
      <c r="D57" s="118">
        <v>40616</v>
      </c>
      <c r="E57" s="64"/>
      <c r="F57" s="64" t="s">
        <v>331</v>
      </c>
      <c r="G57" s="64"/>
      <c r="H57" s="64"/>
      <c r="I57" s="64"/>
      <c r="J57" s="64"/>
      <c r="K57" s="64"/>
      <c r="L57" s="64"/>
      <c r="M57" s="64"/>
      <c r="N57" s="65"/>
      <c r="O57" s="65"/>
      <c r="P57" s="65"/>
      <c r="Q57" s="65"/>
      <c r="R57" s="65"/>
      <c r="S57" s="65"/>
      <c r="T57" s="76">
        <v>41645</v>
      </c>
      <c r="U57" s="566" t="s">
        <v>1212</v>
      </c>
      <c r="V57" s="577"/>
      <c r="W57" s="577"/>
      <c r="X57" s="541"/>
      <c r="Y57" s="541"/>
      <c r="Z57" s="541"/>
      <c r="AA57" s="576"/>
      <c r="AB57" s="566"/>
      <c r="AC57" s="65"/>
    </row>
    <row r="58" spans="1:29" x14ac:dyDescent="0.25">
      <c r="A58" s="4">
        <v>55</v>
      </c>
      <c r="B58" s="121"/>
      <c r="C58" s="119" t="s">
        <v>1218</v>
      </c>
      <c r="D58" s="119"/>
      <c r="E58" s="64"/>
      <c r="F58" s="64"/>
      <c r="G58" s="64"/>
      <c r="H58" s="64"/>
      <c r="I58" s="64"/>
      <c r="J58" s="64"/>
      <c r="K58" s="64"/>
      <c r="L58" s="64"/>
      <c r="M58" s="64"/>
      <c r="N58" s="65"/>
      <c r="O58" s="65"/>
      <c r="P58" s="65"/>
      <c r="Q58" s="65"/>
      <c r="R58" s="65"/>
      <c r="S58" s="65"/>
      <c r="T58" s="76">
        <v>41758</v>
      </c>
      <c r="U58" s="566" t="s">
        <v>1219</v>
      </c>
      <c r="V58" s="577"/>
      <c r="W58" s="577"/>
      <c r="X58" s="541"/>
      <c r="Y58" s="541"/>
      <c r="Z58" s="541"/>
      <c r="AA58" s="576"/>
      <c r="AB58" s="566"/>
      <c r="AC58" s="65"/>
    </row>
    <row r="59" spans="1:29" x14ac:dyDescent="0.25">
      <c r="A59" s="4">
        <v>56</v>
      </c>
      <c r="B59" s="121"/>
      <c r="C59" s="119" t="s">
        <v>368</v>
      </c>
      <c r="D59" s="119"/>
      <c r="E59" s="64"/>
      <c r="F59" s="64"/>
      <c r="G59" s="64"/>
      <c r="H59" s="64"/>
      <c r="I59" s="64"/>
      <c r="J59" s="64"/>
      <c r="K59" s="64"/>
      <c r="L59" s="64"/>
      <c r="M59" s="64"/>
      <c r="N59" s="65"/>
      <c r="O59" s="65"/>
      <c r="P59" s="65"/>
      <c r="Q59" s="65"/>
      <c r="R59" s="65"/>
      <c r="S59" s="65"/>
      <c r="T59" s="65"/>
      <c r="U59" s="566"/>
      <c r="V59" s="577"/>
      <c r="W59" s="577"/>
      <c r="X59" s="541"/>
      <c r="Y59" s="541"/>
      <c r="Z59" s="541"/>
      <c r="AA59" s="576"/>
      <c r="AB59" s="566"/>
      <c r="AC59" s="65"/>
    </row>
    <row r="60" spans="1:29" x14ac:dyDescent="0.25">
      <c r="A60" s="4">
        <v>57</v>
      </c>
      <c r="B60" s="121"/>
      <c r="C60" s="404" t="s">
        <v>717</v>
      </c>
      <c r="D60" s="63">
        <v>40497</v>
      </c>
      <c r="E60" s="64"/>
      <c r="F60" s="64" t="s">
        <v>718</v>
      </c>
      <c r="G60" s="64"/>
      <c r="H60" s="64"/>
      <c r="I60" s="64"/>
      <c r="J60" s="64"/>
      <c r="K60" s="64"/>
      <c r="L60" s="64"/>
      <c r="M60" s="64"/>
      <c r="N60" s="65"/>
      <c r="O60" s="65"/>
      <c r="P60" s="65"/>
      <c r="Q60" s="65"/>
      <c r="R60" s="65"/>
      <c r="S60" s="65"/>
      <c r="T60" s="76">
        <v>41890</v>
      </c>
      <c r="U60" s="566" t="s">
        <v>876</v>
      </c>
      <c r="V60" s="577"/>
      <c r="W60" s="577"/>
      <c r="X60" s="541"/>
      <c r="Y60" s="541"/>
      <c r="Z60" s="541"/>
      <c r="AA60" s="576"/>
      <c r="AB60" s="566"/>
      <c r="AC60" s="65"/>
    </row>
    <row r="61" spans="1:29" x14ac:dyDescent="0.25">
      <c r="A61" s="4">
        <v>58</v>
      </c>
      <c r="B61" s="316"/>
      <c r="C61" s="89" t="s">
        <v>860</v>
      </c>
      <c r="D61" s="119"/>
      <c r="E61" s="64"/>
      <c r="F61" s="64"/>
      <c r="G61" s="64"/>
      <c r="H61" s="64"/>
      <c r="I61" s="64"/>
      <c r="J61" s="64"/>
      <c r="K61" s="64"/>
      <c r="L61" s="63">
        <v>40988</v>
      </c>
      <c r="M61" s="64" t="s">
        <v>719</v>
      </c>
      <c r="N61" s="65"/>
      <c r="O61" s="65" t="s">
        <v>965</v>
      </c>
      <c r="P61" s="65"/>
      <c r="Q61" s="65" t="s">
        <v>861</v>
      </c>
      <c r="R61" s="65" t="s">
        <v>862</v>
      </c>
      <c r="S61" s="65"/>
      <c r="T61" s="76">
        <v>41645</v>
      </c>
      <c r="U61" s="566" t="s">
        <v>1211</v>
      </c>
      <c r="V61" s="577"/>
      <c r="W61" s="577"/>
      <c r="X61" s="541"/>
      <c r="Y61" s="541"/>
      <c r="Z61" s="541"/>
      <c r="AA61" s="576"/>
      <c r="AB61" s="566"/>
      <c r="AC61" s="65"/>
    </row>
    <row r="62" spans="1:29" x14ac:dyDescent="0.25">
      <c r="A62" s="4">
        <v>59</v>
      </c>
      <c r="B62" s="316"/>
      <c r="C62" s="406" t="s">
        <v>717</v>
      </c>
      <c r="D62" s="119"/>
      <c r="E62" s="64"/>
      <c r="F62" s="64"/>
      <c r="G62" s="64"/>
      <c r="H62" s="64"/>
      <c r="I62" s="64"/>
      <c r="J62" s="64"/>
      <c r="K62" s="64"/>
      <c r="L62" s="64"/>
      <c r="M62" s="64"/>
      <c r="N62" s="65"/>
      <c r="O62" s="65"/>
      <c r="P62" s="65"/>
      <c r="Q62" s="399">
        <v>41409</v>
      </c>
      <c r="R62" s="65" t="s">
        <v>876</v>
      </c>
      <c r="S62" s="65"/>
      <c r="T62" s="65"/>
      <c r="U62" s="566"/>
      <c r="V62" s="577"/>
      <c r="W62" s="577"/>
      <c r="X62" s="541"/>
      <c r="Y62" s="541"/>
      <c r="Z62" s="541"/>
      <c r="AA62" s="576"/>
      <c r="AB62" s="566"/>
      <c r="AC62" s="65"/>
    </row>
    <row r="63" spans="1:29" x14ac:dyDescent="0.25">
      <c r="A63" s="545">
        <v>60</v>
      </c>
      <c r="B63" s="546"/>
      <c r="C63" s="547" t="s">
        <v>1209</v>
      </c>
      <c r="D63" s="665"/>
      <c r="E63" s="666"/>
      <c r="F63" s="666"/>
      <c r="G63" s="666"/>
      <c r="H63" s="666"/>
      <c r="I63" s="666"/>
      <c r="J63" s="666"/>
      <c r="K63" s="666"/>
      <c r="L63" s="666"/>
      <c r="M63" s="666"/>
      <c r="N63" s="667"/>
      <c r="O63" s="667"/>
      <c r="P63" s="667"/>
      <c r="Q63" s="667"/>
      <c r="R63" s="667"/>
      <c r="S63" s="667"/>
      <c r="T63" s="668">
        <v>41655</v>
      </c>
      <c r="U63" s="669" t="s">
        <v>1210</v>
      </c>
      <c r="V63" s="670">
        <v>41834</v>
      </c>
      <c r="W63" s="671" t="s">
        <v>1220</v>
      </c>
      <c r="X63" s="667"/>
      <c r="Y63" s="667"/>
      <c r="Z63" s="541"/>
      <c r="AA63" s="576"/>
      <c r="AB63" s="566"/>
      <c r="AC63" s="65"/>
    </row>
    <row r="64" spans="1:29" x14ac:dyDescent="0.25">
      <c r="A64" s="545">
        <v>61</v>
      </c>
      <c r="B64" s="664"/>
      <c r="C64" s="672" t="s">
        <v>1224</v>
      </c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4"/>
      <c r="O64" s="674"/>
      <c r="P64" s="674"/>
      <c r="Q64" s="674"/>
      <c r="R64" s="674"/>
      <c r="S64" s="674"/>
      <c r="T64" s="674"/>
      <c r="U64" s="674"/>
      <c r="V64" s="675"/>
      <c r="W64" s="674"/>
      <c r="X64" s="675">
        <v>42073</v>
      </c>
      <c r="Y64" s="674" t="s">
        <v>1335</v>
      </c>
      <c r="Z64" s="541"/>
      <c r="AA64" s="576"/>
      <c r="AB64" s="566"/>
      <c r="AC64" s="65"/>
    </row>
    <row r="65" spans="1:29" ht="15.75" thickBot="1" x14ac:dyDescent="0.3">
      <c r="A65" s="579"/>
      <c r="B65" s="580"/>
      <c r="C65" s="676" t="s">
        <v>1225</v>
      </c>
      <c r="D65" s="674"/>
      <c r="E65" s="674"/>
      <c r="F65" s="674"/>
      <c r="G65" s="674"/>
      <c r="H65" s="674"/>
      <c r="I65" s="674"/>
      <c r="J65" s="674"/>
      <c r="K65" s="674"/>
      <c r="L65" s="674"/>
      <c r="M65" s="674"/>
      <c r="N65" s="674"/>
      <c r="O65" s="674"/>
      <c r="P65" s="674"/>
      <c r="Q65" s="674"/>
      <c r="R65" s="674"/>
      <c r="S65" s="674"/>
      <c r="T65" s="675">
        <v>41907</v>
      </c>
      <c r="U65" s="674" t="s">
        <v>1226</v>
      </c>
      <c r="V65" s="674"/>
      <c r="W65" s="674"/>
      <c r="X65" s="674"/>
      <c r="Y65" s="674"/>
      <c r="Z65" s="541"/>
      <c r="AA65" s="576"/>
      <c r="AB65" s="566"/>
      <c r="AC65" s="65"/>
    </row>
    <row r="66" spans="1:29" x14ac:dyDescent="0.25">
      <c r="C66" s="677" t="s">
        <v>1349</v>
      </c>
      <c r="D66" s="678"/>
      <c r="E66" s="678"/>
      <c r="F66" s="678"/>
      <c r="G66" s="678"/>
      <c r="H66" s="678"/>
      <c r="I66" s="678"/>
      <c r="J66" s="678"/>
      <c r="K66" s="678"/>
      <c r="L66" s="678"/>
      <c r="M66" s="678"/>
      <c r="N66" s="678"/>
      <c r="O66" s="678"/>
      <c r="P66" s="678"/>
      <c r="Q66" s="678"/>
      <c r="R66" s="678"/>
      <c r="S66" s="678"/>
      <c r="T66" s="678"/>
      <c r="U66" s="678"/>
      <c r="V66" s="678"/>
      <c r="W66" s="678"/>
      <c r="X66" s="679">
        <v>42093</v>
      </c>
      <c r="Y66" s="678" t="s">
        <v>876</v>
      </c>
      <c r="Z66" s="541"/>
      <c r="AA66" s="576"/>
      <c r="AB66" s="709">
        <v>42403</v>
      </c>
      <c r="AC66" s="65" t="s">
        <v>854</v>
      </c>
    </row>
    <row r="67" spans="1:29" x14ac:dyDescent="0.25">
      <c r="C67" s="677" t="s">
        <v>1350</v>
      </c>
      <c r="V67" s="680">
        <v>41974</v>
      </c>
      <c r="W67" s="1" t="s">
        <v>1351</v>
      </c>
      <c r="X67" s="548"/>
    </row>
  </sheetData>
  <autoFilter ref="L1:L62"/>
  <mergeCells count="31">
    <mergeCell ref="AB1:AB3"/>
    <mergeCell ref="AC1:AC3"/>
    <mergeCell ref="B34:B35"/>
    <mergeCell ref="B36:B37"/>
    <mergeCell ref="Y1:Y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M1:M3"/>
    <mergeCell ref="F1:F3"/>
    <mergeCell ref="Z1:Z3"/>
    <mergeCell ref="AA1:AA3"/>
    <mergeCell ref="L1:L3"/>
    <mergeCell ref="G1:G3"/>
    <mergeCell ref="H1:H3"/>
    <mergeCell ref="I1:I3"/>
    <mergeCell ref="J1:J3"/>
    <mergeCell ref="K1:K3"/>
    <mergeCell ref="A1:A3"/>
    <mergeCell ref="B1:B3"/>
    <mergeCell ref="C1:C3"/>
    <mergeCell ref="D1:D3"/>
    <mergeCell ref="E1:E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/>
  <dimension ref="A1:AF98"/>
  <sheetViews>
    <sheetView showGridLines="0" tabSelected="1" topLeftCell="A51" zoomScale="90" zoomScaleNormal="90" workbookViewId="0">
      <pane xSplit="4" topLeftCell="Z1" activePane="topRight" state="frozen"/>
      <selection pane="topRight" activeCell="Z51" sqref="Z51"/>
    </sheetView>
  </sheetViews>
  <sheetFormatPr baseColWidth="10" defaultRowHeight="15" x14ac:dyDescent="0.25"/>
  <cols>
    <col min="1" max="1" width="8" style="1" customWidth="1"/>
    <col min="2" max="2" width="17.42578125" style="3" customWidth="1"/>
    <col min="3" max="3" width="27.28515625" style="2" customWidth="1"/>
    <col min="4" max="4" width="21.28515625" style="1" customWidth="1"/>
    <col min="5" max="5" width="0.140625" style="1" customWidth="1"/>
    <col min="6" max="6" width="49" style="1" customWidth="1"/>
    <col min="7" max="7" width="17" style="1" customWidth="1"/>
    <col min="8" max="8" width="19" style="1" customWidth="1"/>
    <col min="9" max="9" width="46" style="1" customWidth="1"/>
    <col min="10" max="10" width="16.5703125" style="1" customWidth="1"/>
    <col min="11" max="11" width="40.5703125" style="1" customWidth="1"/>
    <col min="12" max="12" width="18.28515625" style="1" customWidth="1"/>
    <col min="13" max="13" width="30.42578125" style="1" customWidth="1"/>
    <col min="14" max="14" width="15.7109375" style="1" customWidth="1"/>
    <col min="15" max="15" width="16.5703125" style="1" customWidth="1"/>
    <col min="16" max="16" width="22.85546875" style="1" customWidth="1"/>
    <col min="17" max="17" width="32.7109375" style="1" customWidth="1"/>
    <col min="18" max="18" width="23.140625" style="1" customWidth="1"/>
    <col min="19" max="19" width="37.7109375" style="1" customWidth="1"/>
    <col min="20" max="20" width="25.7109375" style="1" customWidth="1"/>
    <col min="21" max="21" width="41.42578125" style="1" customWidth="1"/>
    <col min="22" max="22" width="21.140625" style="1" customWidth="1"/>
    <col min="23" max="23" width="41.85546875" style="1" customWidth="1"/>
    <col min="24" max="24" width="23" style="1" customWidth="1"/>
    <col min="25" max="25" width="37" style="1" customWidth="1"/>
    <col min="26" max="26" width="25.140625" style="1" customWidth="1"/>
    <col min="27" max="27" width="43.28515625" style="1" customWidth="1"/>
    <col min="28" max="28" width="24.85546875" style="1" customWidth="1"/>
    <col min="29" max="29" width="64" style="1" bestFit="1" customWidth="1"/>
    <col min="30" max="30" width="19.5703125" style="1" customWidth="1"/>
    <col min="31" max="31" width="67" style="1" customWidth="1"/>
    <col min="32" max="16384" width="11.42578125" style="1"/>
  </cols>
  <sheetData>
    <row r="1" spans="1:32" x14ac:dyDescent="0.25">
      <c r="A1" s="747" t="s">
        <v>19</v>
      </c>
      <c r="B1" s="734" t="s">
        <v>15</v>
      </c>
      <c r="C1" s="734" t="s">
        <v>16</v>
      </c>
      <c r="D1" s="734" t="s">
        <v>1336</v>
      </c>
      <c r="E1" s="734" t="s">
        <v>18</v>
      </c>
      <c r="F1" s="734" t="s">
        <v>21</v>
      </c>
      <c r="G1" s="734" t="s">
        <v>102</v>
      </c>
      <c r="H1" s="734" t="s">
        <v>1337</v>
      </c>
      <c r="I1" s="734" t="s">
        <v>351</v>
      </c>
      <c r="J1" s="734" t="s">
        <v>1338</v>
      </c>
      <c r="K1" s="734" t="s">
        <v>214</v>
      </c>
      <c r="L1" s="734" t="s">
        <v>1339</v>
      </c>
      <c r="M1" s="734" t="s">
        <v>264</v>
      </c>
      <c r="N1" s="734" t="s">
        <v>265</v>
      </c>
      <c r="O1" s="734" t="s">
        <v>323</v>
      </c>
      <c r="P1" s="734" t="s">
        <v>1332</v>
      </c>
      <c r="Q1" s="734" t="s">
        <v>328</v>
      </c>
      <c r="R1" s="311"/>
      <c r="S1" s="734" t="s">
        <v>328</v>
      </c>
      <c r="T1" s="320"/>
      <c r="U1" s="734" t="s">
        <v>328</v>
      </c>
      <c r="V1" s="364"/>
      <c r="W1" s="734" t="s">
        <v>328</v>
      </c>
      <c r="X1" s="734" t="s">
        <v>1328</v>
      </c>
      <c r="Y1" s="734" t="s">
        <v>328</v>
      </c>
      <c r="Z1" s="734" t="s">
        <v>1330</v>
      </c>
      <c r="AA1" s="734" t="s">
        <v>328</v>
      </c>
      <c r="AB1" s="734" t="s">
        <v>1329</v>
      </c>
      <c r="AC1" s="734" t="s">
        <v>328</v>
      </c>
      <c r="AD1" s="734" t="s">
        <v>1424</v>
      </c>
      <c r="AE1" s="734" t="s">
        <v>328</v>
      </c>
    </row>
    <row r="2" spans="1:32" x14ac:dyDescent="0.25">
      <c r="A2" s="748"/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539" t="s">
        <v>1340</v>
      </c>
      <c r="S2" s="735"/>
      <c r="T2" s="539" t="s">
        <v>1341</v>
      </c>
      <c r="U2" s="735"/>
      <c r="V2" s="539" t="s">
        <v>1328</v>
      </c>
      <c r="W2" s="735"/>
      <c r="X2" s="735"/>
      <c r="Y2" s="735"/>
      <c r="Z2" s="735"/>
      <c r="AA2" s="735"/>
      <c r="AB2" s="735"/>
      <c r="AC2" s="735"/>
      <c r="AD2" s="735"/>
      <c r="AE2" s="735"/>
    </row>
    <row r="3" spans="1:32" ht="36" customHeight="1" thickBot="1" x14ac:dyDescent="0.3">
      <c r="A3" s="749"/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736"/>
      <c r="N3" s="736"/>
      <c r="O3" s="736"/>
      <c r="P3" s="736"/>
      <c r="Q3" s="736"/>
      <c r="R3" s="312"/>
      <c r="S3" s="736"/>
      <c r="T3" s="321"/>
      <c r="U3" s="736"/>
      <c r="V3" s="365"/>
      <c r="W3" s="736"/>
      <c r="X3" s="736"/>
      <c r="Y3" s="736"/>
      <c r="Z3" s="736"/>
      <c r="AA3" s="736"/>
      <c r="AB3" s="736"/>
      <c r="AC3" s="736"/>
      <c r="AD3" s="735"/>
      <c r="AE3" s="735"/>
    </row>
    <row r="4" spans="1:32" s="6" customFormat="1" ht="15" customHeight="1" x14ac:dyDescent="0.25">
      <c r="A4" s="73">
        <v>1</v>
      </c>
      <c r="B4" s="754" t="s">
        <v>6</v>
      </c>
      <c r="C4" s="398" t="s">
        <v>0</v>
      </c>
      <c r="D4" s="74">
        <v>40113</v>
      </c>
      <c r="E4" s="74">
        <f>D4+416</f>
        <v>40529</v>
      </c>
      <c r="F4" s="61" t="s">
        <v>23</v>
      </c>
      <c r="G4" s="61" t="s">
        <v>103</v>
      </c>
      <c r="H4" s="76">
        <v>40518</v>
      </c>
      <c r="I4" s="65" t="s">
        <v>285</v>
      </c>
      <c r="J4" s="76">
        <f>H4+416</f>
        <v>40934</v>
      </c>
      <c r="K4" s="65" t="s">
        <v>286</v>
      </c>
      <c r="L4" s="65"/>
      <c r="M4" s="65"/>
      <c r="N4" s="65"/>
      <c r="O4" s="65"/>
      <c r="P4" s="76">
        <v>40918</v>
      </c>
      <c r="Q4" s="65" t="s">
        <v>254</v>
      </c>
      <c r="R4" s="76">
        <v>41022</v>
      </c>
      <c r="S4" s="65" t="s">
        <v>754</v>
      </c>
      <c r="T4" s="399">
        <v>41436</v>
      </c>
      <c r="U4" s="65" t="s">
        <v>876</v>
      </c>
      <c r="V4" s="76">
        <v>41821</v>
      </c>
      <c r="W4" s="65" t="s">
        <v>876</v>
      </c>
      <c r="X4" s="65"/>
      <c r="Y4" s="65"/>
      <c r="Z4" s="76">
        <v>41919</v>
      </c>
      <c r="AA4" s="65" t="s">
        <v>1295</v>
      </c>
      <c r="AB4" s="76">
        <v>42303</v>
      </c>
      <c r="AC4" s="569" t="s">
        <v>1414</v>
      </c>
      <c r="AD4" s="61"/>
      <c r="AE4" s="61"/>
    </row>
    <row r="5" spans="1:32" ht="15" customHeight="1" x14ac:dyDescent="0.25">
      <c r="A5" s="73">
        <v>2</v>
      </c>
      <c r="B5" s="755"/>
      <c r="C5" s="400" t="s">
        <v>1</v>
      </c>
      <c r="D5" s="76">
        <v>40057</v>
      </c>
      <c r="E5" s="76">
        <f>D5+416</f>
        <v>40473</v>
      </c>
      <c r="F5" s="65" t="s">
        <v>23</v>
      </c>
      <c r="G5" s="65" t="s">
        <v>103</v>
      </c>
      <c r="H5" s="76">
        <v>40505</v>
      </c>
      <c r="I5" s="65" t="s">
        <v>285</v>
      </c>
      <c r="J5" s="76">
        <f>H5+416</f>
        <v>40921</v>
      </c>
      <c r="K5" s="65" t="s">
        <v>286</v>
      </c>
      <c r="L5" s="65"/>
      <c r="M5" s="65"/>
      <c r="N5" s="65"/>
      <c r="O5" s="65"/>
      <c r="P5" s="76">
        <v>40918</v>
      </c>
      <c r="Q5" s="65" t="s">
        <v>254</v>
      </c>
      <c r="R5" s="65"/>
      <c r="S5" s="65"/>
      <c r="T5" s="399">
        <v>41436</v>
      </c>
      <c r="U5" s="65" t="s">
        <v>876</v>
      </c>
      <c r="V5" s="76">
        <v>41821</v>
      </c>
      <c r="W5" s="65" t="s">
        <v>876</v>
      </c>
      <c r="X5" s="65"/>
      <c r="Y5" s="65"/>
      <c r="Z5" s="76">
        <v>41919</v>
      </c>
      <c r="AA5" s="65" t="s">
        <v>1295</v>
      </c>
      <c r="AB5" s="76">
        <v>42304</v>
      </c>
      <c r="AC5" s="569" t="s">
        <v>1414</v>
      </c>
      <c r="AD5" s="566"/>
      <c r="AE5" s="65"/>
    </row>
    <row r="6" spans="1:32" s="7" customFormat="1" ht="15" customHeight="1" x14ac:dyDescent="0.25">
      <c r="A6" s="73">
        <v>3</v>
      </c>
      <c r="B6" s="755"/>
      <c r="C6" s="400" t="s">
        <v>29</v>
      </c>
      <c r="D6" s="76">
        <v>40109</v>
      </c>
      <c r="E6" s="76">
        <f>D6+416</f>
        <v>40525</v>
      </c>
      <c r="F6" s="65" t="s">
        <v>23</v>
      </c>
      <c r="G6" s="65" t="s">
        <v>103</v>
      </c>
      <c r="H6" s="76">
        <v>40518</v>
      </c>
      <c r="I6" s="65" t="s">
        <v>285</v>
      </c>
      <c r="J6" s="76">
        <f>H6+416</f>
        <v>40934</v>
      </c>
      <c r="K6" s="65" t="s">
        <v>286</v>
      </c>
      <c r="L6" s="65"/>
      <c r="M6" s="65"/>
      <c r="N6" s="65"/>
      <c r="O6" s="65"/>
      <c r="P6" s="76">
        <v>40918</v>
      </c>
      <c r="Q6" s="65" t="s">
        <v>254</v>
      </c>
      <c r="R6" s="65"/>
      <c r="S6" s="65"/>
      <c r="T6" s="399">
        <v>41436</v>
      </c>
      <c r="U6" s="65" t="s">
        <v>876</v>
      </c>
      <c r="V6" s="76">
        <v>41821</v>
      </c>
      <c r="W6" s="65" t="s">
        <v>876</v>
      </c>
      <c r="X6" s="76">
        <v>41869</v>
      </c>
      <c r="Y6" s="65" t="s">
        <v>1284</v>
      </c>
      <c r="Z6" s="76">
        <v>41919</v>
      </c>
      <c r="AA6" s="65" t="s">
        <v>1295</v>
      </c>
      <c r="AB6" s="76">
        <v>42312</v>
      </c>
      <c r="AC6" s="569" t="s">
        <v>1414</v>
      </c>
      <c r="AD6" s="566"/>
      <c r="AE6" s="65"/>
    </row>
    <row r="7" spans="1:32" ht="15" customHeight="1" x14ac:dyDescent="0.25">
      <c r="A7" s="73">
        <v>4</v>
      </c>
      <c r="B7" s="755"/>
      <c r="C7" s="400" t="s">
        <v>30</v>
      </c>
      <c r="D7" s="76">
        <v>40109</v>
      </c>
      <c r="E7" s="76">
        <f>D7+416</f>
        <v>40525</v>
      </c>
      <c r="F7" s="65" t="s">
        <v>23</v>
      </c>
      <c r="G7" s="65" t="s">
        <v>103</v>
      </c>
      <c r="H7" s="76">
        <v>40518</v>
      </c>
      <c r="I7" s="65" t="s">
        <v>285</v>
      </c>
      <c r="J7" s="76">
        <f>H7+416</f>
        <v>40934</v>
      </c>
      <c r="K7" s="65" t="s">
        <v>286</v>
      </c>
      <c r="L7" s="65"/>
      <c r="M7" s="65"/>
      <c r="N7" s="65"/>
      <c r="O7" s="65"/>
      <c r="P7" s="76">
        <v>40918</v>
      </c>
      <c r="Q7" s="65" t="s">
        <v>254</v>
      </c>
      <c r="R7" s="399">
        <v>41443</v>
      </c>
      <c r="S7" s="65" t="s">
        <v>767</v>
      </c>
      <c r="T7" s="65"/>
      <c r="U7" s="65"/>
      <c r="V7" s="76">
        <v>41824</v>
      </c>
      <c r="W7" s="65" t="s">
        <v>876</v>
      </c>
      <c r="X7" s="76">
        <v>41869</v>
      </c>
      <c r="Y7" s="65" t="s">
        <v>1284</v>
      </c>
      <c r="Z7" s="76">
        <v>41919</v>
      </c>
      <c r="AA7" s="65" t="s">
        <v>1295</v>
      </c>
      <c r="AB7" s="76">
        <v>42312</v>
      </c>
      <c r="AC7" s="569" t="s">
        <v>1414</v>
      </c>
      <c r="AD7" s="566"/>
      <c r="AE7" s="65"/>
    </row>
    <row r="8" spans="1:32" s="7" customFormat="1" ht="15" customHeight="1" x14ac:dyDescent="0.25">
      <c r="A8" s="73">
        <v>5</v>
      </c>
      <c r="B8" s="755"/>
      <c r="C8" s="400" t="s">
        <v>31</v>
      </c>
      <c r="D8" s="76">
        <v>40190</v>
      </c>
      <c r="E8" s="76">
        <f t="shared" ref="E8:E69" si="0">D8+416</f>
        <v>40606</v>
      </c>
      <c r="F8" s="65" t="s">
        <v>23</v>
      </c>
      <c r="G8" s="65" t="s">
        <v>103</v>
      </c>
      <c r="H8" s="76">
        <v>40511</v>
      </c>
      <c r="I8" s="65" t="s">
        <v>291</v>
      </c>
      <c r="J8" s="76">
        <f>H8+416</f>
        <v>40927</v>
      </c>
      <c r="K8" s="65" t="s">
        <v>292</v>
      </c>
      <c r="L8" s="65"/>
      <c r="M8" s="65"/>
      <c r="N8" s="65"/>
      <c r="O8" s="65"/>
      <c r="P8" s="76">
        <v>40919</v>
      </c>
      <c r="Q8" s="65" t="s">
        <v>254</v>
      </c>
      <c r="R8" s="76">
        <v>41066</v>
      </c>
      <c r="S8" s="65" t="s">
        <v>755</v>
      </c>
      <c r="T8" s="399">
        <v>41519</v>
      </c>
      <c r="U8" s="65" t="s">
        <v>989</v>
      </c>
      <c r="V8" s="76">
        <v>41883</v>
      </c>
      <c r="W8" s="65" t="s">
        <v>876</v>
      </c>
      <c r="X8" s="65"/>
      <c r="Y8" s="65"/>
      <c r="Z8" s="76">
        <v>41919</v>
      </c>
      <c r="AA8" s="65" t="s">
        <v>1295</v>
      </c>
      <c r="AB8" s="76">
        <v>42311</v>
      </c>
      <c r="AC8" s="569" t="s">
        <v>1414</v>
      </c>
      <c r="AD8" s="566"/>
      <c r="AE8" s="65"/>
    </row>
    <row r="9" spans="1:32" ht="15" customHeight="1" x14ac:dyDescent="0.25">
      <c r="A9" s="73">
        <v>6</v>
      </c>
      <c r="B9" s="755"/>
      <c r="C9" s="400" t="s">
        <v>32</v>
      </c>
      <c r="D9" s="76">
        <v>40109</v>
      </c>
      <c r="E9" s="76">
        <f t="shared" si="0"/>
        <v>40525</v>
      </c>
      <c r="F9" s="65" t="s">
        <v>23</v>
      </c>
      <c r="G9" s="65" t="s">
        <v>103</v>
      </c>
      <c r="H9" s="76">
        <v>40511</v>
      </c>
      <c r="I9" s="65" t="s">
        <v>291</v>
      </c>
      <c r="J9" s="76">
        <f t="shared" ref="J9:J15" si="1">H9+416</f>
        <v>40927</v>
      </c>
      <c r="K9" s="65" t="s">
        <v>286</v>
      </c>
      <c r="L9" s="65"/>
      <c r="M9" s="65"/>
      <c r="N9" s="65"/>
      <c r="O9" s="65"/>
      <c r="P9" s="76">
        <v>40924</v>
      </c>
      <c r="Q9" s="65" t="s">
        <v>254</v>
      </c>
      <c r="R9" s="399">
        <v>41408</v>
      </c>
      <c r="S9" s="65" t="s">
        <v>767</v>
      </c>
      <c r="T9" s="65"/>
      <c r="U9" s="65"/>
      <c r="V9" s="76">
        <v>41827</v>
      </c>
      <c r="W9" s="65" t="s">
        <v>876</v>
      </c>
      <c r="X9" s="76">
        <v>41864</v>
      </c>
      <c r="Y9" s="65" t="s">
        <v>876</v>
      </c>
      <c r="Z9" s="76">
        <v>41919</v>
      </c>
      <c r="AA9" s="65" t="s">
        <v>1295</v>
      </c>
      <c r="AB9" s="76">
        <v>42312</v>
      </c>
      <c r="AC9" s="569" t="s">
        <v>1415</v>
      </c>
      <c r="AD9" s="566"/>
      <c r="AE9" s="65"/>
    </row>
    <row r="10" spans="1:32" s="7" customFormat="1" ht="15" customHeight="1" x14ac:dyDescent="0.25">
      <c r="A10" s="73">
        <v>7</v>
      </c>
      <c r="B10" s="755"/>
      <c r="C10" s="400" t="s">
        <v>40</v>
      </c>
      <c r="D10" s="76">
        <v>40099</v>
      </c>
      <c r="E10" s="76">
        <f t="shared" si="0"/>
        <v>40515</v>
      </c>
      <c r="F10" s="65" t="s">
        <v>23</v>
      </c>
      <c r="G10" s="65" t="s">
        <v>103</v>
      </c>
      <c r="H10" s="76">
        <v>40518</v>
      </c>
      <c r="I10" s="65" t="s">
        <v>291</v>
      </c>
      <c r="J10" s="76">
        <f t="shared" si="1"/>
        <v>40934</v>
      </c>
      <c r="K10" s="65" t="s">
        <v>286</v>
      </c>
      <c r="L10" s="65"/>
      <c r="M10" s="65"/>
      <c r="N10" s="65"/>
      <c r="O10" s="65"/>
      <c r="P10" s="76"/>
      <c r="Q10" s="65" t="s">
        <v>254</v>
      </c>
      <c r="R10" s="76">
        <v>41086</v>
      </c>
      <c r="S10" s="65" t="s">
        <v>767</v>
      </c>
      <c r="T10" s="399">
        <v>41519</v>
      </c>
      <c r="U10" s="65" t="s">
        <v>990</v>
      </c>
      <c r="V10" s="76">
        <v>41883</v>
      </c>
      <c r="W10" s="65" t="s">
        <v>876</v>
      </c>
      <c r="X10" s="65"/>
      <c r="Y10" s="65"/>
      <c r="Z10" s="76">
        <v>41919</v>
      </c>
      <c r="AA10" s="65" t="s">
        <v>1295</v>
      </c>
      <c r="AB10" s="76">
        <v>42297</v>
      </c>
      <c r="AC10" s="569" t="s">
        <v>1414</v>
      </c>
      <c r="AD10" s="566"/>
      <c r="AE10" s="691"/>
    </row>
    <row r="11" spans="1:32" ht="15" customHeight="1" x14ac:dyDescent="0.25">
      <c r="A11" s="73">
        <v>8</v>
      </c>
      <c r="B11" s="755"/>
      <c r="C11" s="400" t="s">
        <v>41</v>
      </c>
      <c r="D11" s="76">
        <v>40190</v>
      </c>
      <c r="E11" s="76">
        <f t="shared" si="0"/>
        <v>40606</v>
      </c>
      <c r="F11" s="65" t="s">
        <v>23</v>
      </c>
      <c r="G11" s="65" t="s">
        <v>103</v>
      </c>
      <c r="H11" s="76">
        <v>40603</v>
      </c>
      <c r="I11" s="65" t="s">
        <v>291</v>
      </c>
      <c r="J11" s="76">
        <v>40603</v>
      </c>
      <c r="K11" s="65" t="s">
        <v>286</v>
      </c>
      <c r="L11" s="65"/>
      <c r="M11" s="65"/>
      <c r="N11" s="65"/>
      <c r="O11" s="65"/>
      <c r="P11" s="76"/>
      <c r="Q11" s="65" t="s">
        <v>254</v>
      </c>
      <c r="R11" s="76">
        <v>41086</v>
      </c>
      <c r="S11" s="65" t="s">
        <v>767</v>
      </c>
      <c r="T11" s="399">
        <v>41519</v>
      </c>
      <c r="U11" s="65" t="s">
        <v>990</v>
      </c>
      <c r="V11" s="76">
        <v>41884</v>
      </c>
      <c r="W11" s="65" t="s">
        <v>876</v>
      </c>
      <c r="X11" s="65"/>
      <c r="Y11" s="65"/>
      <c r="Z11" s="76">
        <v>41919</v>
      </c>
      <c r="AA11" s="65" t="s">
        <v>1295</v>
      </c>
      <c r="AB11" s="76">
        <v>42304</v>
      </c>
      <c r="AC11" s="569" t="s">
        <v>1414</v>
      </c>
      <c r="AD11" s="566"/>
      <c r="AE11" s="65"/>
    </row>
    <row r="12" spans="1:32" ht="15" customHeight="1" x14ac:dyDescent="0.25">
      <c r="A12" s="73">
        <v>9</v>
      </c>
      <c r="B12" s="755"/>
      <c r="C12" s="400" t="s">
        <v>42</v>
      </c>
      <c r="D12" s="76">
        <v>40190</v>
      </c>
      <c r="E12" s="76">
        <f t="shared" si="0"/>
        <v>40606</v>
      </c>
      <c r="F12" s="65" t="s">
        <v>23</v>
      </c>
      <c r="G12" s="65" t="s">
        <v>103</v>
      </c>
      <c r="H12" s="76">
        <v>40518</v>
      </c>
      <c r="I12" s="65" t="s">
        <v>291</v>
      </c>
      <c r="J12" s="76">
        <f t="shared" si="1"/>
        <v>40934</v>
      </c>
      <c r="K12" s="65" t="s">
        <v>286</v>
      </c>
      <c r="L12" s="76">
        <v>41079</v>
      </c>
      <c r="M12" s="65" t="s">
        <v>993</v>
      </c>
      <c r="N12" s="65"/>
      <c r="O12" s="65"/>
      <c r="P12" s="76">
        <v>40924</v>
      </c>
      <c r="Q12" s="65" t="s">
        <v>254</v>
      </c>
      <c r="R12" s="399">
        <v>41408</v>
      </c>
      <c r="S12" s="65" t="s">
        <v>767</v>
      </c>
      <c r="T12" s="65"/>
      <c r="U12" s="65"/>
      <c r="V12" s="76">
        <v>41827</v>
      </c>
      <c r="W12" s="65" t="s">
        <v>876</v>
      </c>
      <c r="X12" s="65"/>
      <c r="Y12" s="65"/>
      <c r="Z12" s="76">
        <v>41919</v>
      </c>
      <c r="AA12" s="65" t="s">
        <v>1295</v>
      </c>
      <c r="AB12" s="76">
        <v>42297</v>
      </c>
      <c r="AC12" s="569" t="s">
        <v>1414</v>
      </c>
      <c r="AD12" s="566"/>
      <c r="AE12" s="65"/>
    </row>
    <row r="13" spans="1:32" ht="15" customHeight="1" x14ac:dyDescent="0.25">
      <c r="A13" s="73">
        <v>10</v>
      </c>
      <c r="B13" s="755"/>
      <c r="C13" s="400" t="s">
        <v>43</v>
      </c>
      <c r="D13" s="76">
        <v>40099</v>
      </c>
      <c r="E13" s="76">
        <f t="shared" si="0"/>
        <v>40515</v>
      </c>
      <c r="F13" s="65" t="s">
        <v>23</v>
      </c>
      <c r="G13" s="65" t="s">
        <v>103</v>
      </c>
      <c r="H13" s="76">
        <v>40518</v>
      </c>
      <c r="I13" s="65" t="s">
        <v>291</v>
      </c>
      <c r="J13" s="76">
        <f t="shared" si="1"/>
        <v>40934</v>
      </c>
      <c r="K13" s="65" t="s">
        <v>286</v>
      </c>
      <c r="L13" s="65"/>
      <c r="M13" s="65"/>
      <c r="N13" s="65"/>
      <c r="O13" s="65"/>
      <c r="P13" s="76">
        <v>40925</v>
      </c>
      <c r="Q13" s="65" t="s">
        <v>254</v>
      </c>
      <c r="R13" s="65"/>
      <c r="S13" s="65"/>
      <c r="T13" s="399">
        <v>41443</v>
      </c>
      <c r="U13" s="65" t="s">
        <v>990</v>
      </c>
      <c r="V13" s="76">
        <v>41834</v>
      </c>
      <c r="W13" s="65" t="s">
        <v>876</v>
      </c>
      <c r="X13" s="76">
        <v>41864</v>
      </c>
      <c r="Y13" s="65" t="s">
        <v>876</v>
      </c>
      <c r="Z13" s="76">
        <v>41919</v>
      </c>
      <c r="AA13" s="65" t="s">
        <v>1295</v>
      </c>
      <c r="AB13" s="76">
        <v>42304</v>
      </c>
      <c r="AC13" s="569" t="s">
        <v>1414</v>
      </c>
      <c r="AD13" s="566"/>
      <c r="AE13" s="65"/>
    </row>
    <row r="14" spans="1:32" ht="15" customHeight="1" x14ac:dyDescent="0.25">
      <c r="A14" s="73">
        <v>11</v>
      </c>
      <c r="B14" s="755"/>
      <c r="C14" s="400" t="s">
        <v>44</v>
      </c>
      <c r="D14" s="76">
        <v>40190</v>
      </c>
      <c r="E14" s="76">
        <f t="shared" si="0"/>
        <v>40606</v>
      </c>
      <c r="F14" s="65" t="s">
        <v>23</v>
      </c>
      <c r="G14" s="65" t="s">
        <v>103</v>
      </c>
      <c r="H14" s="76">
        <v>40603</v>
      </c>
      <c r="I14" s="65" t="s">
        <v>291</v>
      </c>
      <c r="J14" s="76">
        <f t="shared" si="1"/>
        <v>41019</v>
      </c>
      <c r="K14" s="65" t="s">
        <v>286</v>
      </c>
      <c r="L14" s="65"/>
      <c r="M14" s="65"/>
      <c r="N14" s="65"/>
      <c r="O14" s="65"/>
      <c r="P14" s="76"/>
      <c r="Q14" s="65" t="s">
        <v>254</v>
      </c>
      <c r="R14" s="76">
        <v>41085</v>
      </c>
      <c r="S14" s="65" t="s">
        <v>767</v>
      </c>
      <c r="T14" s="65" t="s">
        <v>863</v>
      </c>
      <c r="U14" s="65" t="s">
        <v>864</v>
      </c>
      <c r="V14" s="399">
        <v>41514</v>
      </c>
      <c r="W14" s="65" t="s">
        <v>876</v>
      </c>
      <c r="X14" s="76">
        <v>41891</v>
      </c>
      <c r="Y14" s="65" t="s">
        <v>876</v>
      </c>
      <c r="Z14" s="76">
        <v>41919</v>
      </c>
      <c r="AA14" s="65" t="s">
        <v>1295</v>
      </c>
      <c r="AB14" s="76">
        <v>42312</v>
      </c>
      <c r="AC14" s="569" t="s">
        <v>1414</v>
      </c>
      <c r="AD14" s="566"/>
      <c r="AE14" s="65"/>
    </row>
    <row r="15" spans="1:32" ht="15" customHeight="1" x14ac:dyDescent="0.25">
      <c r="A15" s="73">
        <v>12</v>
      </c>
      <c r="B15" s="755"/>
      <c r="C15" s="400" t="s">
        <v>45</v>
      </c>
      <c r="D15" s="76">
        <v>40149</v>
      </c>
      <c r="E15" s="76">
        <f t="shared" si="0"/>
        <v>40565</v>
      </c>
      <c r="F15" s="65" t="s">
        <v>23</v>
      </c>
      <c r="G15" s="65" t="s">
        <v>103</v>
      </c>
      <c r="H15" s="76">
        <v>40603</v>
      </c>
      <c r="I15" s="65" t="s">
        <v>291</v>
      </c>
      <c r="J15" s="76">
        <f t="shared" si="1"/>
        <v>41019</v>
      </c>
      <c r="K15" s="65" t="s">
        <v>286</v>
      </c>
      <c r="L15" s="65"/>
      <c r="M15" s="65"/>
      <c r="N15" s="65"/>
      <c r="O15" s="65"/>
      <c r="P15" s="76"/>
      <c r="Q15" s="65" t="s">
        <v>254</v>
      </c>
      <c r="R15" s="76">
        <v>41086</v>
      </c>
      <c r="S15" s="65" t="s">
        <v>767</v>
      </c>
      <c r="T15" s="76"/>
      <c r="U15" s="65"/>
      <c r="V15" s="399">
        <v>41514</v>
      </c>
      <c r="W15" s="65" t="s">
        <v>876</v>
      </c>
      <c r="X15" s="76">
        <v>41891</v>
      </c>
      <c r="Y15" s="65" t="s">
        <v>876</v>
      </c>
      <c r="Z15" s="76">
        <v>41919</v>
      </c>
      <c r="AA15" s="65" t="s">
        <v>1295</v>
      </c>
      <c r="AB15" s="76">
        <v>42311</v>
      </c>
      <c r="AC15" s="569" t="s">
        <v>1414</v>
      </c>
      <c r="AD15" s="566"/>
      <c r="AE15" s="65"/>
      <c r="AF15" s="685"/>
    </row>
    <row r="16" spans="1:32" ht="15" customHeight="1" x14ac:dyDescent="0.25">
      <c r="A16" s="73">
        <v>13</v>
      </c>
      <c r="B16" s="755"/>
      <c r="C16" s="400" t="s">
        <v>46</v>
      </c>
      <c r="D16" s="76">
        <v>40099</v>
      </c>
      <c r="E16" s="76">
        <f t="shared" si="0"/>
        <v>40515</v>
      </c>
      <c r="F16" s="65" t="s">
        <v>23</v>
      </c>
      <c r="G16" s="65" t="s">
        <v>103</v>
      </c>
      <c r="H16" s="76">
        <v>40519</v>
      </c>
      <c r="I16" s="65" t="s">
        <v>291</v>
      </c>
      <c r="J16" s="76">
        <f>H16+416</f>
        <v>40935</v>
      </c>
      <c r="K16" s="65" t="s">
        <v>286</v>
      </c>
      <c r="L16" s="65"/>
      <c r="M16" s="65"/>
      <c r="N16" s="65"/>
      <c r="O16" s="65"/>
      <c r="P16" s="76">
        <v>40925</v>
      </c>
      <c r="Q16" s="65" t="s">
        <v>254</v>
      </c>
      <c r="R16" s="399">
        <v>41386</v>
      </c>
      <c r="S16" s="65" t="s">
        <v>767</v>
      </c>
      <c r="T16" s="65"/>
      <c r="U16" s="65" t="s">
        <v>990</v>
      </c>
      <c r="V16" s="76">
        <v>41835</v>
      </c>
      <c r="W16" s="65" t="s">
        <v>876</v>
      </c>
      <c r="X16" s="65"/>
      <c r="Y16" s="65"/>
      <c r="Z16" s="76">
        <v>41919</v>
      </c>
      <c r="AA16" s="65" t="s">
        <v>1295</v>
      </c>
      <c r="AB16" s="76">
        <v>42297</v>
      </c>
      <c r="AC16" s="569" t="s">
        <v>1414</v>
      </c>
      <c r="AD16" s="566"/>
      <c r="AE16" s="65"/>
    </row>
    <row r="17" spans="1:31" ht="15" customHeight="1" x14ac:dyDescent="0.25">
      <c r="A17" s="73">
        <v>14</v>
      </c>
      <c r="B17" s="755"/>
      <c r="C17" s="400" t="s">
        <v>47</v>
      </c>
      <c r="D17" s="76">
        <v>39941</v>
      </c>
      <c r="E17" s="76">
        <f t="shared" si="0"/>
        <v>40357</v>
      </c>
      <c r="F17" s="65" t="s">
        <v>23</v>
      </c>
      <c r="G17" s="65" t="s">
        <v>103</v>
      </c>
      <c r="H17" s="76">
        <v>40336</v>
      </c>
      <c r="I17" s="65" t="s">
        <v>291</v>
      </c>
      <c r="J17" s="76">
        <f>H17+416</f>
        <v>40752</v>
      </c>
      <c r="K17" s="65" t="s">
        <v>286</v>
      </c>
      <c r="L17" s="76">
        <v>40750</v>
      </c>
      <c r="M17" s="65" t="s">
        <v>360</v>
      </c>
      <c r="N17" s="65"/>
      <c r="O17" s="65"/>
      <c r="P17" s="65"/>
      <c r="Q17" s="65"/>
      <c r="R17" s="76">
        <v>41085</v>
      </c>
      <c r="S17" s="65" t="s">
        <v>767</v>
      </c>
      <c r="T17" s="399">
        <v>41386</v>
      </c>
      <c r="U17" s="65" t="s">
        <v>767</v>
      </c>
      <c r="V17" s="76">
        <v>41835</v>
      </c>
      <c r="W17" s="65" t="s">
        <v>876</v>
      </c>
      <c r="X17" s="76">
        <v>41863</v>
      </c>
      <c r="Y17" s="65" t="s">
        <v>876</v>
      </c>
      <c r="Z17" s="76">
        <v>41919</v>
      </c>
      <c r="AA17" s="65" t="s">
        <v>1295</v>
      </c>
      <c r="AB17" s="76">
        <v>42304</v>
      </c>
      <c r="AC17" s="569" t="s">
        <v>1414</v>
      </c>
      <c r="AD17" s="566"/>
      <c r="AE17" s="65"/>
    </row>
    <row r="18" spans="1:31" ht="15" customHeight="1" x14ac:dyDescent="0.25">
      <c r="A18" s="73">
        <v>15</v>
      </c>
      <c r="B18" s="755"/>
      <c r="C18" s="400" t="s">
        <v>48</v>
      </c>
      <c r="D18" s="76">
        <v>40099</v>
      </c>
      <c r="E18" s="76">
        <f t="shared" si="0"/>
        <v>40515</v>
      </c>
      <c r="F18" s="65" t="s">
        <v>23</v>
      </c>
      <c r="G18" s="65" t="s">
        <v>103</v>
      </c>
      <c r="H18" s="76">
        <v>40518</v>
      </c>
      <c r="I18" s="65" t="s">
        <v>291</v>
      </c>
      <c r="J18" s="76">
        <f t="shared" ref="J18:J23" si="2">H18+416</f>
        <v>40934</v>
      </c>
      <c r="K18" s="65" t="s">
        <v>286</v>
      </c>
      <c r="L18" s="65"/>
      <c r="M18" s="65"/>
      <c r="N18" s="65"/>
      <c r="O18" s="65"/>
      <c r="P18" s="76">
        <v>40931</v>
      </c>
      <c r="Q18" s="65" t="s">
        <v>254</v>
      </c>
      <c r="R18" s="399">
        <v>41388</v>
      </c>
      <c r="S18" s="65" t="s">
        <v>767</v>
      </c>
      <c r="T18" s="65"/>
      <c r="U18" s="65"/>
      <c r="V18" s="76">
        <v>41841</v>
      </c>
      <c r="W18" s="65" t="s">
        <v>876</v>
      </c>
      <c r="X18" s="76">
        <v>41863</v>
      </c>
      <c r="Y18" s="65" t="s">
        <v>876</v>
      </c>
      <c r="Z18" s="76">
        <v>41919</v>
      </c>
      <c r="AA18" s="65" t="s">
        <v>1295</v>
      </c>
      <c r="AB18" s="76">
        <v>42311</v>
      </c>
      <c r="AC18" s="569" t="s">
        <v>1414</v>
      </c>
      <c r="AD18" s="566"/>
      <c r="AE18" s="65"/>
    </row>
    <row r="19" spans="1:31" ht="15" customHeight="1" x14ac:dyDescent="0.25">
      <c r="A19" s="73">
        <v>16</v>
      </c>
      <c r="B19" s="755"/>
      <c r="C19" s="400" t="s">
        <v>49</v>
      </c>
      <c r="D19" s="76">
        <v>39941</v>
      </c>
      <c r="E19" s="76">
        <f t="shared" si="0"/>
        <v>40357</v>
      </c>
      <c r="F19" s="65" t="s">
        <v>23</v>
      </c>
      <c r="G19" s="65" t="s">
        <v>103</v>
      </c>
      <c r="H19" s="76">
        <v>40336</v>
      </c>
      <c r="I19" s="65" t="s">
        <v>291</v>
      </c>
      <c r="J19" s="76">
        <f t="shared" si="2"/>
        <v>40752</v>
      </c>
      <c r="K19" s="65" t="s">
        <v>286</v>
      </c>
      <c r="L19" s="76">
        <v>40750</v>
      </c>
      <c r="M19" s="65" t="s">
        <v>360</v>
      </c>
      <c r="N19" s="65"/>
      <c r="O19" s="65"/>
      <c r="P19" s="76">
        <v>40946</v>
      </c>
      <c r="Q19" s="65" t="s">
        <v>1097</v>
      </c>
      <c r="R19" s="399">
        <v>41386</v>
      </c>
      <c r="S19" s="65" t="s">
        <v>767</v>
      </c>
      <c r="T19" s="76">
        <v>41641</v>
      </c>
      <c r="U19" s="65" t="s">
        <v>1247</v>
      </c>
      <c r="V19" s="76">
        <v>41841</v>
      </c>
      <c r="W19" s="65" t="s">
        <v>876</v>
      </c>
      <c r="X19" s="65"/>
      <c r="Y19" s="65"/>
      <c r="Z19" s="76">
        <v>41919</v>
      </c>
      <c r="AA19" s="65" t="s">
        <v>1295</v>
      </c>
      <c r="AB19" s="76">
        <v>42311</v>
      </c>
      <c r="AC19" s="569" t="s">
        <v>1414</v>
      </c>
      <c r="AD19" s="566"/>
      <c r="AE19" s="65"/>
    </row>
    <row r="20" spans="1:31" ht="15" customHeight="1" x14ac:dyDescent="0.25">
      <c r="A20" s="73">
        <v>17</v>
      </c>
      <c r="B20" s="755"/>
      <c r="C20" s="400" t="s">
        <v>50</v>
      </c>
      <c r="D20" s="76">
        <v>40102</v>
      </c>
      <c r="E20" s="76">
        <f t="shared" si="0"/>
        <v>40518</v>
      </c>
      <c r="F20" s="65" t="s">
        <v>23</v>
      </c>
      <c r="G20" s="65" t="s">
        <v>103</v>
      </c>
      <c r="H20" s="76">
        <v>40519</v>
      </c>
      <c r="I20" s="65" t="s">
        <v>291</v>
      </c>
      <c r="J20" s="76">
        <f t="shared" si="2"/>
        <v>40935</v>
      </c>
      <c r="K20" s="65" t="s">
        <v>286</v>
      </c>
      <c r="L20" s="65"/>
      <c r="M20" s="65"/>
      <c r="N20" s="65"/>
      <c r="O20" s="65"/>
      <c r="P20" s="76">
        <v>40931</v>
      </c>
      <c r="Q20" s="65" t="s">
        <v>254</v>
      </c>
      <c r="R20" s="399">
        <v>41386</v>
      </c>
      <c r="S20" s="65" t="s">
        <v>767</v>
      </c>
      <c r="T20" s="76">
        <v>41793</v>
      </c>
      <c r="U20" s="65" t="s">
        <v>1279</v>
      </c>
      <c r="V20" s="76">
        <v>41841</v>
      </c>
      <c r="W20" s="65" t="s">
        <v>876</v>
      </c>
      <c r="X20" s="65"/>
      <c r="Y20" s="65"/>
      <c r="Z20" s="76">
        <v>41919</v>
      </c>
      <c r="AA20" s="65" t="s">
        <v>1295</v>
      </c>
      <c r="AB20" s="76">
        <v>42318</v>
      </c>
      <c r="AC20" s="569" t="s">
        <v>1414</v>
      </c>
      <c r="AD20" s="566"/>
      <c r="AE20" s="65"/>
    </row>
    <row r="21" spans="1:31" ht="15" customHeight="1" x14ac:dyDescent="0.25">
      <c r="A21" s="73">
        <v>18</v>
      </c>
      <c r="B21" s="755"/>
      <c r="C21" s="400" t="s">
        <v>51</v>
      </c>
      <c r="D21" s="76">
        <v>40120</v>
      </c>
      <c r="E21" s="76">
        <f t="shared" si="0"/>
        <v>40536</v>
      </c>
      <c r="F21" s="65" t="s">
        <v>23</v>
      </c>
      <c r="G21" s="65" t="s">
        <v>103</v>
      </c>
      <c r="H21" s="76">
        <v>40519</v>
      </c>
      <c r="I21" s="65" t="s">
        <v>291</v>
      </c>
      <c r="J21" s="76">
        <f t="shared" si="2"/>
        <v>40935</v>
      </c>
      <c r="K21" s="65" t="s">
        <v>286</v>
      </c>
      <c r="L21" s="65"/>
      <c r="M21" s="65"/>
      <c r="N21" s="65"/>
      <c r="O21" s="65"/>
      <c r="P21" s="76">
        <v>40931</v>
      </c>
      <c r="Q21" s="65" t="s">
        <v>254</v>
      </c>
      <c r="R21" s="399">
        <v>41386</v>
      </c>
      <c r="S21" s="65" t="s">
        <v>767</v>
      </c>
      <c r="T21" s="76">
        <v>41641</v>
      </c>
      <c r="U21" s="65" t="s">
        <v>1247</v>
      </c>
      <c r="V21" s="76">
        <v>41981</v>
      </c>
      <c r="W21" s="65" t="s">
        <v>876</v>
      </c>
      <c r="X21" s="76">
        <v>41891</v>
      </c>
      <c r="Y21" s="65" t="s">
        <v>1290</v>
      </c>
      <c r="Z21" s="76">
        <v>41919</v>
      </c>
      <c r="AA21" s="65" t="s">
        <v>1295</v>
      </c>
      <c r="AB21" s="76">
        <v>42318</v>
      </c>
      <c r="AC21" s="569" t="s">
        <v>1414</v>
      </c>
      <c r="AD21" s="566"/>
      <c r="AE21" s="65"/>
    </row>
    <row r="22" spans="1:31" ht="15" customHeight="1" x14ac:dyDescent="0.25">
      <c r="A22" s="73">
        <v>19</v>
      </c>
      <c r="B22" s="755"/>
      <c r="C22" s="400" t="s">
        <v>52</v>
      </c>
      <c r="D22" s="76">
        <v>40121</v>
      </c>
      <c r="E22" s="76">
        <f t="shared" si="0"/>
        <v>40537</v>
      </c>
      <c r="F22" s="65" t="s">
        <v>23</v>
      </c>
      <c r="G22" s="65" t="s">
        <v>103</v>
      </c>
      <c r="H22" s="76">
        <v>40519</v>
      </c>
      <c r="I22" s="65" t="s">
        <v>291</v>
      </c>
      <c r="J22" s="76">
        <f t="shared" si="2"/>
        <v>40935</v>
      </c>
      <c r="K22" s="65" t="s">
        <v>286</v>
      </c>
      <c r="L22" s="65"/>
      <c r="M22" s="65"/>
      <c r="N22" s="65"/>
      <c r="O22" s="65"/>
      <c r="P22" s="76">
        <v>40931</v>
      </c>
      <c r="Q22" s="65" t="s">
        <v>254</v>
      </c>
      <c r="R22" s="399">
        <v>41360</v>
      </c>
      <c r="S22" s="65" t="s">
        <v>767</v>
      </c>
      <c r="T22" s="76"/>
      <c r="U22" s="65"/>
      <c r="V22" s="76">
        <v>41842</v>
      </c>
      <c r="W22" s="65" t="s">
        <v>876</v>
      </c>
      <c r="X22" s="65"/>
      <c r="Y22" s="65"/>
      <c r="Z22" s="76">
        <v>41919</v>
      </c>
      <c r="AA22" s="65" t="s">
        <v>1295</v>
      </c>
      <c r="AB22" s="76">
        <v>42317</v>
      </c>
      <c r="AC22" s="569" t="s">
        <v>1421</v>
      </c>
      <c r="AD22" s="566"/>
      <c r="AE22" s="65"/>
    </row>
    <row r="23" spans="1:31" ht="15" customHeight="1" x14ac:dyDescent="0.25">
      <c r="A23" s="73">
        <v>20</v>
      </c>
      <c r="B23" s="755"/>
      <c r="C23" s="395" t="s">
        <v>53</v>
      </c>
      <c r="D23" s="76">
        <v>40122</v>
      </c>
      <c r="E23" s="76">
        <f t="shared" si="0"/>
        <v>40538</v>
      </c>
      <c r="F23" s="65" t="s">
        <v>23</v>
      </c>
      <c r="G23" s="65" t="s">
        <v>103</v>
      </c>
      <c r="H23" s="76">
        <v>40519</v>
      </c>
      <c r="I23" s="65" t="s">
        <v>291</v>
      </c>
      <c r="J23" s="76">
        <f t="shared" si="2"/>
        <v>40935</v>
      </c>
      <c r="K23" s="65" t="s">
        <v>286</v>
      </c>
      <c r="L23" s="65"/>
      <c r="M23" s="65"/>
      <c r="N23" s="65"/>
      <c r="O23" s="65"/>
      <c r="P23" s="99">
        <v>40932</v>
      </c>
      <c r="Q23" s="83" t="s">
        <v>254</v>
      </c>
      <c r="R23" s="399">
        <v>41360</v>
      </c>
      <c r="S23" s="65" t="s">
        <v>767</v>
      </c>
      <c r="T23" s="76"/>
      <c r="U23" s="65"/>
      <c r="V23" s="76">
        <v>41848</v>
      </c>
      <c r="W23" s="65" t="s">
        <v>876</v>
      </c>
      <c r="X23" s="65"/>
      <c r="Y23" s="65"/>
      <c r="Z23" s="76">
        <v>41919</v>
      </c>
      <c r="AA23" s="65" t="s">
        <v>1295</v>
      </c>
      <c r="AB23" s="76">
        <v>42317</v>
      </c>
      <c r="AC23" s="569" t="s">
        <v>1414</v>
      </c>
      <c r="AD23" s="566"/>
      <c r="AE23" s="65"/>
    </row>
    <row r="24" spans="1:31" ht="15" customHeight="1" x14ac:dyDescent="0.25">
      <c r="A24" s="73">
        <v>21</v>
      </c>
      <c r="B24" s="755"/>
      <c r="C24" s="400" t="s">
        <v>33</v>
      </c>
      <c r="D24" s="76">
        <v>40004</v>
      </c>
      <c r="E24" s="76">
        <f t="shared" si="0"/>
        <v>40420</v>
      </c>
      <c r="F24" s="65" t="s">
        <v>23</v>
      </c>
      <c r="G24" s="65" t="s">
        <v>103</v>
      </c>
      <c r="H24" s="76">
        <v>40392</v>
      </c>
      <c r="I24" s="65" t="s">
        <v>211</v>
      </c>
      <c r="J24" s="76">
        <f>H24+416</f>
        <v>40808</v>
      </c>
      <c r="K24" s="65" t="s">
        <v>248</v>
      </c>
      <c r="L24" s="65"/>
      <c r="M24" s="65"/>
      <c r="N24" s="65"/>
      <c r="O24" s="76"/>
      <c r="P24" s="123">
        <v>41158</v>
      </c>
      <c r="Q24" s="65" t="s">
        <v>767</v>
      </c>
      <c r="R24" s="123"/>
      <c r="S24" s="65"/>
      <c r="T24" s="65"/>
      <c r="U24" s="65"/>
      <c r="V24" s="76">
        <v>41680</v>
      </c>
      <c r="W24" s="65" t="s">
        <v>876</v>
      </c>
      <c r="X24" s="65"/>
      <c r="Y24" s="65"/>
      <c r="Z24" s="76">
        <v>42017</v>
      </c>
      <c r="AA24" s="65" t="s">
        <v>876</v>
      </c>
      <c r="AB24" s="76">
        <v>42361</v>
      </c>
      <c r="AC24" s="566" t="s">
        <v>1434</v>
      </c>
      <c r="AD24" s="709">
        <v>42485</v>
      </c>
      <c r="AE24" s="65" t="s">
        <v>1434</v>
      </c>
    </row>
    <row r="25" spans="1:31" ht="15" customHeight="1" x14ac:dyDescent="0.25">
      <c r="A25" s="73">
        <v>22</v>
      </c>
      <c r="B25" s="755"/>
      <c r="C25" s="400" t="s">
        <v>34</v>
      </c>
      <c r="D25" s="76">
        <v>40004</v>
      </c>
      <c r="E25" s="76">
        <f t="shared" si="0"/>
        <v>40420</v>
      </c>
      <c r="F25" s="65" t="s">
        <v>23</v>
      </c>
      <c r="G25" s="65" t="s">
        <v>103</v>
      </c>
      <c r="H25" s="76">
        <v>40392</v>
      </c>
      <c r="I25" s="65" t="s">
        <v>211</v>
      </c>
      <c r="J25" s="76">
        <f t="shared" ref="J25:J37" si="3">H25+416</f>
        <v>40808</v>
      </c>
      <c r="K25" s="65" t="s">
        <v>248</v>
      </c>
      <c r="L25" s="65"/>
      <c r="M25" s="65"/>
      <c r="N25" s="65"/>
      <c r="O25" s="65"/>
      <c r="P25" s="123">
        <v>41219</v>
      </c>
      <c r="Q25" s="65" t="s">
        <v>767</v>
      </c>
      <c r="R25" s="123"/>
      <c r="S25" s="65"/>
      <c r="T25" s="65"/>
      <c r="U25" s="65"/>
      <c r="V25" s="76">
        <v>41646</v>
      </c>
      <c r="W25" s="65" t="s">
        <v>876</v>
      </c>
      <c r="X25" s="76">
        <v>41681</v>
      </c>
      <c r="Y25" s="65" t="s">
        <v>1254</v>
      </c>
      <c r="Z25" s="76">
        <v>42017</v>
      </c>
      <c r="AA25" s="65" t="s">
        <v>876</v>
      </c>
      <c r="AB25" s="65"/>
      <c r="AC25" s="566" t="s">
        <v>1434</v>
      </c>
      <c r="AD25" s="709">
        <v>42394</v>
      </c>
      <c r="AE25" s="65" t="s">
        <v>1434</v>
      </c>
    </row>
    <row r="26" spans="1:31" ht="15" customHeight="1" x14ac:dyDescent="0.25">
      <c r="A26" s="73">
        <v>23</v>
      </c>
      <c r="B26" s="755"/>
      <c r="C26" s="400" t="s">
        <v>35</v>
      </c>
      <c r="D26" s="76">
        <v>40071</v>
      </c>
      <c r="E26" s="76">
        <f t="shared" si="0"/>
        <v>40487</v>
      </c>
      <c r="F26" s="65" t="s">
        <v>23</v>
      </c>
      <c r="G26" s="65" t="s">
        <v>103</v>
      </c>
      <c r="H26" s="76">
        <v>40392</v>
      </c>
      <c r="I26" s="65" t="s">
        <v>211</v>
      </c>
      <c r="J26" s="76">
        <f t="shared" si="3"/>
        <v>40808</v>
      </c>
      <c r="K26" s="65" t="s">
        <v>248</v>
      </c>
      <c r="L26" s="76">
        <v>40791</v>
      </c>
      <c r="M26" s="65" t="s">
        <v>254</v>
      </c>
      <c r="N26" s="65"/>
      <c r="O26" s="65"/>
      <c r="P26" s="123">
        <v>41158</v>
      </c>
      <c r="Q26" s="65" t="s">
        <v>767</v>
      </c>
      <c r="R26" s="123"/>
      <c r="S26" s="65"/>
      <c r="T26" s="65"/>
      <c r="U26" s="65"/>
      <c r="V26" s="76">
        <v>41646</v>
      </c>
      <c r="W26" s="65" t="s">
        <v>876</v>
      </c>
      <c r="X26" s="76">
        <v>41681</v>
      </c>
      <c r="Y26" s="65" t="s">
        <v>1254</v>
      </c>
      <c r="Z26" s="76">
        <v>42017</v>
      </c>
      <c r="AA26" s="65" t="s">
        <v>876</v>
      </c>
      <c r="AB26" s="76">
        <v>42359</v>
      </c>
      <c r="AC26" s="566" t="s">
        <v>1434</v>
      </c>
      <c r="AD26" s="709">
        <v>42431</v>
      </c>
      <c r="AE26" s="65" t="s">
        <v>1434</v>
      </c>
    </row>
    <row r="27" spans="1:31" ht="15" customHeight="1" x14ac:dyDescent="0.25">
      <c r="A27" s="73">
        <v>24</v>
      </c>
      <c r="B27" s="755"/>
      <c r="C27" s="400" t="s">
        <v>36</v>
      </c>
      <c r="D27" s="76">
        <v>40071</v>
      </c>
      <c r="E27" s="76">
        <f t="shared" si="0"/>
        <v>40487</v>
      </c>
      <c r="F27" s="65" t="s">
        <v>23</v>
      </c>
      <c r="G27" s="65" t="s">
        <v>103</v>
      </c>
      <c r="H27" s="76">
        <v>40533</v>
      </c>
      <c r="I27" s="65" t="s">
        <v>211</v>
      </c>
      <c r="J27" s="76">
        <f t="shared" si="3"/>
        <v>40949</v>
      </c>
      <c r="K27" s="65" t="s">
        <v>248</v>
      </c>
      <c r="L27" s="76">
        <v>40792</v>
      </c>
      <c r="M27" s="65" t="s">
        <v>254</v>
      </c>
      <c r="N27" s="65"/>
      <c r="O27" s="65"/>
      <c r="P27" s="123">
        <v>41219</v>
      </c>
      <c r="Q27" s="65" t="s">
        <v>767</v>
      </c>
      <c r="R27" s="123"/>
      <c r="S27" s="65"/>
      <c r="T27" s="65"/>
      <c r="U27" s="65"/>
      <c r="V27" s="76">
        <v>41674</v>
      </c>
      <c r="W27" s="65" t="s">
        <v>876</v>
      </c>
      <c r="X27" s="76">
        <v>41681</v>
      </c>
      <c r="Y27" s="65" t="s">
        <v>1254</v>
      </c>
      <c r="Z27" s="76">
        <v>42018</v>
      </c>
      <c r="AA27" s="65" t="s">
        <v>876</v>
      </c>
      <c r="AB27" s="76">
        <v>42366</v>
      </c>
      <c r="AC27" s="566" t="s">
        <v>1434</v>
      </c>
      <c r="AD27" s="709">
        <v>42485</v>
      </c>
      <c r="AE27" s="65" t="s">
        <v>1434</v>
      </c>
    </row>
    <row r="28" spans="1:31" ht="15" customHeight="1" x14ac:dyDescent="0.25">
      <c r="A28" s="73">
        <v>25</v>
      </c>
      <c r="B28" s="755"/>
      <c r="C28" s="400" t="s">
        <v>54</v>
      </c>
      <c r="D28" s="76">
        <v>40007</v>
      </c>
      <c r="E28" s="76">
        <f t="shared" si="0"/>
        <v>40423</v>
      </c>
      <c r="F28" s="65" t="s">
        <v>23</v>
      </c>
      <c r="G28" s="65" t="s">
        <v>103</v>
      </c>
      <c r="H28" s="76">
        <v>40414</v>
      </c>
      <c r="I28" s="65" t="s">
        <v>211</v>
      </c>
      <c r="J28" s="76">
        <f t="shared" si="3"/>
        <v>40830</v>
      </c>
      <c r="K28" s="65" t="s">
        <v>248</v>
      </c>
      <c r="L28" s="76">
        <v>40791</v>
      </c>
      <c r="M28" s="65"/>
      <c r="N28" s="65"/>
      <c r="O28" s="65"/>
      <c r="P28" s="123">
        <v>41219</v>
      </c>
      <c r="Q28" s="65" t="s">
        <v>767</v>
      </c>
      <c r="R28" s="123"/>
      <c r="S28" s="65"/>
      <c r="T28" s="65"/>
      <c r="U28" s="65"/>
      <c r="V28" s="76">
        <v>41674</v>
      </c>
      <c r="W28" s="65" t="s">
        <v>876</v>
      </c>
      <c r="X28" s="76">
        <v>41681</v>
      </c>
      <c r="Y28" s="65" t="s">
        <v>1254</v>
      </c>
      <c r="Z28" s="76">
        <v>42046</v>
      </c>
      <c r="AA28" s="65" t="s">
        <v>876</v>
      </c>
      <c r="AB28" s="76"/>
      <c r="AC28" s="566"/>
      <c r="AD28" s="76">
        <v>42380</v>
      </c>
      <c r="AE28" s="65" t="s">
        <v>1434</v>
      </c>
    </row>
    <row r="29" spans="1:31" ht="15" customHeight="1" x14ac:dyDescent="0.25">
      <c r="A29" s="73">
        <v>26</v>
      </c>
      <c r="B29" s="755"/>
      <c r="C29" s="400" t="s">
        <v>55</v>
      </c>
      <c r="D29" s="76">
        <v>40071</v>
      </c>
      <c r="E29" s="76">
        <f t="shared" si="0"/>
        <v>40487</v>
      </c>
      <c r="F29" s="65" t="s">
        <v>23</v>
      </c>
      <c r="G29" s="65" t="s">
        <v>103</v>
      </c>
      <c r="H29" s="76">
        <v>40533</v>
      </c>
      <c r="I29" s="65" t="s">
        <v>211</v>
      </c>
      <c r="J29" s="76">
        <f t="shared" si="3"/>
        <v>40949</v>
      </c>
      <c r="K29" s="65" t="s">
        <v>248</v>
      </c>
      <c r="L29" s="76">
        <v>40906</v>
      </c>
      <c r="M29" s="65" t="s">
        <v>254</v>
      </c>
      <c r="N29" s="65"/>
      <c r="O29" s="65"/>
      <c r="P29" s="123">
        <v>41158</v>
      </c>
      <c r="Q29" s="65" t="s">
        <v>767</v>
      </c>
      <c r="R29" s="123"/>
      <c r="S29" s="65"/>
      <c r="T29" s="65"/>
      <c r="U29" s="65"/>
      <c r="V29" s="76">
        <v>41674</v>
      </c>
      <c r="W29" s="65" t="s">
        <v>876</v>
      </c>
      <c r="X29" s="76">
        <v>41681</v>
      </c>
      <c r="Y29" s="65" t="s">
        <v>1254</v>
      </c>
      <c r="Z29" s="76">
        <v>42046</v>
      </c>
      <c r="AA29" s="65" t="s">
        <v>876</v>
      </c>
      <c r="AB29" s="76">
        <v>42355</v>
      </c>
      <c r="AC29" s="566" t="s">
        <v>1434</v>
      </c>
      <c r="AD29" s="709">
        <v>42485</v>
      </c>
      <c r="AE29" s="65" t="s">
        <v>1434</v>
      </c>
    </row>
    <row r="30" spans="1:31" ht="15" customHeight="1" x14ac:dyDescent="0.25">
      <c r="A30" s="73">
        <v>27</v>
      </c>
      <c r="B30" s="755"/>
      <c r="C30" s="400" t="s">
        <v>56</v>
      </c>
      <c r="D30" s="76">
        <v>40007</v>
      </c>
      <c r="E30" s="76">
        <f t="shared" si="0"/>
        <v>40423</v>
      </c>
      <c r="F30" s="65" t="s">
        <v>23</v>
      </c>
      <c r="G30" s="65" t="s">
        <v>103</v>
      </c>
      <c r="H30" s="76">
        <v>40414</v>
      </c>
      <c r="I30" s="65" t="s">
        <v>211</v>
      </c>
      <c r="J30" s="76">
        <f t="shared" si="3"/>
        <v>40830</v>
      </c>
      <c r="K30" s="65" t="s">
        <v>248</v>
      </c>
      <c r="L30" s="76">
        <v>40906</v>
      </c>
      <c r="M30" s="65" t="s">
        <v>254</v>
      </c>
      <c r="N30" s="65"/>
      <c r="O30" s="65"/>
      <c r="P30" s="123">
        <v>41228</v>
      </c>
      <c r="Q30" s="65" t="s">
        <v>767</v>
      </c>
      <c r="R30" s="123"/>
      <c r="S30" s="65"/>
      <c r="T30" s="65"/>
      <c r="U30" s="65"/>
      <c r="V30" s="76">
        <v>41668</v>
      </c>
      <c r="W30" s="65" t="s">
        <v>876</v>
      </c>
      <c r="X30" s="65"/>
      <c r="Y30" s="65"/>
      <c r="Z30" s="76">
        <v>42046</v>
      </c>
      <c r="AA30" s="65" t="s">
        <v>876</v>
      </c>
      <c r="AB30" s="65"/>
      <c r="AC30" s="566"/>
      <c r="AD30" s="709">
        <v>42380</v>
      </c>
      <c r="AE30" s="65" t="s">
        <v>1434</v>
      </c>
    </row>
    <row r="31" spans="1:31" ht="15" customHeight="1" x14ac:dyDescent="0.25">
      <c r="A31" s="73">
        <v>28</v>
      </c>
      <c r="B31" s="755"/>
      <c r="C31" s="400" t="s">
        <v>57</v>
      </c>
      <c r="D31" s="76">
        <v>40007</v>
      </c>
      <c r="E31" s="76">
        <f t="shared" si="0"/>
        <v>40423</v>
      </c>
      <c r="F31" s="65" t="s">
        <v>23</v>
      </c>
      <c r="G31" s="65" t="s">
        <v>103</v>
      </c>
      <c r="H31" s="76">
        <v>40414</v>
      </c>
      <c r="I31" s="65" t="s">
        <v>211</v>
      </c>
      <c r="J31" s="76">
        <f t="shared" si="3"/>
        <v>40830</v>
      </c>
      <c r="K31" s="65" t="s">
        <v>248</v>
      </c>
      <c r="L31" s="76">
        <v>40906</v>
      </c>
      <c r="M31" s="65" t="s">
        <v>254</v>
      </c>
      <c r="N31" s="65"/>
      <c r="O31" s="65"/>
      <c r="P31" s="123">
        <v>41165</v>
      </c>
      <c r="Q31" s="65" t="s">
        <v>767</v>
      </c>
      <c r="R31" s="123"/>
      <c r="S31" s="65"/>
      <c r="T31" s="65"/>
      <c r="U31" s="65"/>
      <c r="V31" s="65"/>
      <c r="W31" s="65"/>
      <c r="X31" s="65"/>
      <c r="Y31" s="65"/>
      <c r="Z31" s="76">
        <v>42021</v>
      </c>
      <c r="AA31" s="65" t="s">
        <v>876</v>
      </c>
      <c r="AB31" s="65"/>
      <c r="AC31" s="566"/>
      <c r="AD31" s="709">
        <v>42387</v>
      </c>
      <c r="AE31" s="65" t="s">
        <v>1434</v>
      </c>
    </row>
    <row r="32" spans="1:31" ht="15" customHeight="1" x14ac:dyDescent="0.25">
      <c r="A32" s="73">
        <v>29</v>
      </c>
      <c r="B32" s="755"/>
      <c r="C32" s="400" t="s">
        <v>58</v>
      </c>
      <c r="D32" s="76">
        <v>40007</v>
      </c>
      <c r="E32" s="76">
        <f t="shared" si="0"/>
        <v>40423</v>
      </c>
      <c r="F32" s="65" t="s">
        <v>23</v>
      </c>
      <c r="G32" s="65" t="s">
        <v>103</v>
      </c>
      <c r="H32" s="76">
        <v>40427</v>
      </c>
      <c r="I32" s="65" t="s">
        <v>211</v>
      </c>
      <c r="J32" s="76">
        <f t="shared" si="3"/>
        <v>40843</v>
      </c>
      <c r="K32" s="65" t="s">
        <v>248</v>
      </c>
      <c r="L32" s="76">
        <v>40791</v>
      </c>
      <c r="M32" s="65"/>
      <c r="N32" s="65"/>
      <c r="O32" s="65"/>
      <c r="P32" s="123">
        <v>41165</v>
      </c>
      <c r="Q32" s="65" t="s">
        <v>767</v>
      </c>
      <c r="R32" s="123"/>
      <c r="S32" s="65"/>
      <c r="T32" s="65"/>
      <c r="U32" s="65"/>
      <c r="V32" s="65"/>
      <c r="W32" s="65"/>
      <c r="X32" s="65"/>
      <c r="Y32" s="65"/>
      <c r="Z32" s="76">
        <v>42021</v>
      </c>
      <c r="AA32" s="65" t="s">
        <v>876</v>
      </c>
      <c r="AB32" s="65"/>
      <c r="AC32" s="566"/>
      <c r="AD32" s="709">
        <v>42387</v>
      </c>
      <c r="AE32" s="65" t="s">
        <v>1434</v>
      </c>
    </row>
    <row r="33" spans="1:31" ht="15" customHeight="1" x14ac:dyDescent="0.25">
      <c r="A33" s="73">
        <v>30</v>
      </c>
      <c r="B33" s="755"/>
      <c r="C33" s="400" t="s">
        <v>59</v>
      </c>
      <c r="D33" s="76">
        <v>40018</v>
      </c>
      <c r="E33" s="76">
        <f t="shared" si="0"/>
        <v>40434</v>
      </c>
      <c r="F33" s="65" t="s">
        <v>23</v>
      </c>
      <c r="G33" s="65" t="s">
        <v>103</v>
      </c>
      <c r="H33" s="76">
        <v>40427</v>
      </c>
      <c r="I33" s="65" t="s">
        <v>211</v>
      </c>
      <c r="J33" s="76">
        <f t="shared" si="3"/>
        <v>40843</v>
      </c>
      <c r="K33" s="65" t="s">
        <v>248</v>
      </c>
      <c r="L33" s="76">
        <v>40792</v>
      </c>
      <c r="M33" s="65" t="s">
        <v>254</v>
      </c>
      <c r="N33" s="65"/>
      <c r="O33" s="65"/>
      <c r="P33" s="123">
        <v>41165</v>
      </c>
      <c r="Q33" s="65" t="s">
        <v>767</v>
      </c>
      <c r="R33" s="123"/>
      <c r="S33" s="65"/>
      <c r="T33" s="65"/>
      <c r="U33" s="65"/>
      <c r="V33" s="65"/>
      <c r="W33" s="65"/>
      <c r="X33" s="65"/>
      <c r="Y33" s="65"/>
      <c r="Z33" s="76">
        <v>42059</v>
      </c>
      <c r="AA33" s="65" t="s">
        <v>876</v>
      </c>
      <c r="AB33" s="65"/>
      <c r="AC33" s="566" t="s">
        <v>1434</v>
      </c>
      <c r="AD33" s="709">
        <v>42429</v>
      </c>
      <c r="AE33" s="65" t="s">
        <v>1434</v>
      </c>
    </row>
    <row r="34" spans="1:31" ht="15" customHeight="1" x14ac:dyDescent="0.25">
      <c r="A34" s="73">
        <v>31</v>
      </c>
      <c r="B34" s="755"/>
      <c r="C34" s="400" t="s">
        <v>60</v>
      </c>
      <c r="D34" s="76">
        <v>40015</v>
      </c>
      <c r="E34" s="76">
        <f t="shared" si="0"/>
        <v>40431</v>
      </c>
      <c r="F34" s="65" t="s">
        <v>23</v>
      </c>
      <c r="G34" s="65" t="s">
        <v>103</v>
      </c>
      <c r="H34" s="76">
        <v>40427</v>
      </c>
      <c r="I34" s="65" t="s">
        <v>211</v>
      </c>
      <c r="J34" s="76">
        <f t="shared" si="3"/>
        <v>40843</v>
      </c>
      <c r="K34" s="65" t="s">
        <v>248</v>
      </c>
      <c r="L34" s="76">
        <v>40792</v>
      </c>
      <c r="M34" s="65" t="s">
        <v>254</v>
      </c>
      <c r="N34" s="65"/>
      <c r="O34" s="65"/>
      <c r="P34" s="123">
        <v>41166</v>
      </c>
      <c r="Q34" s="65" t="s">
        <v>767</v>
      </c>
      <c r="R34" s="123"/>
      <c r="S34" s="65"/>
      <c r="T34" s="65"/>
      <c r="U34" s="65"/>
      <c r="V34" s="65"/>
      <c r="W34" s="65"/>
      <c r="X34" s="65"/>
      <c r="Y34" s="65"/>
      <c r="Z34" s="76">
        <v>42059</v>
      </c>
      <c r="AA34" s="65" t="s">
        <v>876</v>
      </c>
      <c r="AB34" s="65"/>
      <c r="AC34" s="566" t="s">
        <v>1434</v>
      </c>
      <c r="AD34" s="709">
        <v>42429</v>
      </c>
      <c r="AE34" s="65" t="s">
        <v>1434</v>
      </c>
    </row>
    <row r="35" spans="1:31" ht="15" customHeight="1" x14ac:dyDescent="0.25">
      <c r="A35" s="73">
        <v>32</v>
      </c>
      <c r="B35" s="755"/>
      <c r="C35" s="400" t="s">
        <v>61</v>
      </c>
      <c r="D35" s="76">
        <v>40018</v>
      </c>
      <c r="E35" s="76">
        <f t="shared" si="0"/>
        <v>40434</v>
      </c>
      <c r="F35" s="65" t="s">
        <v>23</v>
      </c>
      <c r="G35" s="65" t="s">
        <v>103</v>
      </c>
      <c r="H35" s="76">
        <v>40427</v>
      </c>
      <c r="I35" s="65" t="s">
        <v>211</v>
      </c>
      <c r="J35" s="76">
        <f t="shared" si="3"/>
        <v>40843</v>
      </c>
      <c r="K35" s="65" t="s">
        <v>248</v>
      </c>
      <c r="L35" s="76">
        <v>40792</v>
      </c>
      <c r="M35" s="65" t="s">
        <v>254</v>
      </c>
      <c r="N35" s="65"/>
      <c r="O35" s="65"/>
      <c r="P35" s="123">
        <v>41166</v>
      </c>
      <c r="Q35" s="65" t="s">
        <v>767</v>
      </c>
      <c r="R35" s="123"/>
      <c r="S35" s="65"/>
      <c r="T35" s="65"/>
      <c r="U35" s="65"/>
      <c r="V35" s="65"/>
      <c r="W35" s="65"/>
      <c r="X35" s="65"/>
      <c r="Y35" s="65"/>
      <c r="Z35" s="76">
        <v>42053</v>
      </c>
      <c r="AA35" s="65" t="s">
        <v>876</v>
      </c>
      <c r="AB35" s="65"/>
      <c r="AC35" s="566" t="s">
        <v>1434</v>
      </c>
      <c r="AD35" s="709">
        <v>42436</v>
      </c>
      <c r="AE35" s="65" t="s">
        <v>1434</v>
      </c>
    </row>
    <row r="36" spans="1:31" ht="15" customHeight="1" x14ac:dyDescent="0.25">
      <c r="A36" s="73">
        <v>33</v>
      </c>
      <c r="B36" s="755"/>
      <c r="C36" s="400" t="s">
        <v>62</v>
      </c>
      <c r="D36" s="76">
        <v>40018</v>
      </c>
      <c r="E36" s="76">
        <f t="shared" si="0"/>
        <v>40434</v>
      </c>
      <c r="F36" s="65" t="s">
        <v>23</v>
      </c>
      <c r="G36" s="65" t="s">
        <v>103</v>
      </c>
      <c r="H36" s="76">
        <v>40428</v>
      </c>
      <c r="I36" s="65" t="s">
        <v>211</v>
      </c>
      <c r="J36" s="76">
        <f t="shared" si="3"/>
        <v>40844</v>
      </c>
      <c r="K36" s="65" t="s">
        <v>248</v>
      </c>
      <c r="L36" s="76">
        <v>40813</v>
      </c>
      <c r="M36" s="65" t="s">
        <v>254</v>
      </c>
      <c r="N36" s="65"/>
      <c r="O36" s="65"/>
      <c r="P36" s="123">
        <v>41166</v>
      </c>
      <c r="Q36" s="65" t="s">
        <v>767</v>
      </c>
      <c r="R36" s="123"/>
      <c r="S36" s="65"/>
      <c r="T36" s="65"/>
      <c r="U36" s="65"/>
      <c r="V36" s="65"/>
      <c r="W36" s="65"/>
      <c r="X36" s="65"/>
      <c r="Y36" s="65"/>
      <c r="Z36" s="76">
        <v>42053</v>
      </c>
      <c r="AA36" s="65" t="s">
        <v>876</v>
      </c>
      <c r="AB36" s="65"/>
      <c r="AC36" s="566" t="s">
        <v>1434</v>
      </c>
      <c r="AD36" s="709">
        <v>42457</v>
      </c>
      <c r="AE36" s="65" t="s">
        <v>1434</v>
      </c>
    </row>
    <row r="37" spans="1:31" ht="15" customHeight="1" x14ac:dyDescent="0.25">
      <c r="A37" s="73">
        <v>34</v>
      </c>
      <c r="B37" s="755"/>
      <c r="C37" s="400" t="s">
        <v>63</v>
      </c>
      <c r="D37" s="76">
        <v>40022</v>
      </c>
      <c r="E37" s="76">
        <f t="shared" si="0"/>
        <v>40438</v>
      </c>
      <c r="F37" s="65" t="s">
        <v>23</v>
      </c>
      <c r="G37" s="65" t="s">
        <v>103</v>
      </c>
      <c r="H37" s="76">
        <v>40428</v>
      </c>
      <c r="I37" s="65" t="s">
        <v>211</v>
      </c>
      <c r="J37" s="76">
        <f t="shared" si="3"/>
        <v>40844</v>
      </c>
      <c r="K37" s="65" t="s">
        <v>248</v>
      </c>
      <c r="L37" s="76">
        <v>40813</v>
      </c>
      <c r="M37" s="65" t="s">
        <v>254</v>
      </c>
      <c r="N37" s="65"/>
      <c r="O37" s="65"/>
      <c r="P37" s="123">
        <v>41172</v>
      </c>
      <c r="Q37" s="65" t="s">
        <v>767</v>
      </c>
      <c r="R37" s="123"/>
      <c r="S37" s="65"/>
      <c r="T37" s="65"/>
      <c r="U37" s="65"/>
      <c r="V37" s="65"/>
      <c r="W37" s="65"/>
      <c r="X37" s="65"/>
      <c r="Y37" s="65"/>
      <c r="Z37" s="76">
        <v>42053</v>
      </c>
      <c r="AA37" s="65" t="s">
        <v>876</v>
      </c>
      <c r="AB37" s="65"/>
      <c r="AC37" s="566" t="s">
        <v>1434</v>
      </c>
      <c r="AD37" s="709">
        <v>42457</v>
      </c>
      <c r="AE37" s="65" t="s">
        <v>1434</v>
      </c>
    </row>
    <row r="38" spans="1:31" ht="15" customHeight="1" x14ac:dyDescent="0.25">
      <c r="A38" s="73">
        <v>35</v>
      </c>
      <c r="B38" s="755"/>
      <c r="C38" s="400" t="s">
        <v>64</v>
      </c>
      <c r="D38" s="76">
        <v>39941</v>
      </c>
      <c r="E38" s="76">
        <f t="shared" si="0"/>
        <v>40357</v>
      </c>
      <c r="F38" s="65" t="s">
        <v>23</v>
      </c>
      <c r="G38" s="65" t="s">
        <v>103</v>
      </c>
      <c r="H38" s="76">
        <v>40414</v>
      </c>
      <c r="I38" s="65" t="s">
        <v>211</v>
      </c>
      <c r="J38" s="76">
        <f t="shared" ref="J38:J47" si="4">H38+416</f>
        <v>40830</v>
      </c>
      <c r="K38" s="65" t="s">
        <v>248</v>
      </c>
      <c r="L38" s="76">
        <v>40813</v>
      </c>
      <c r="M38" s="65" t="s">
        <v>254</v>
      </c>
      <c r="N38" s="65"/>
      <c r="O38" s="65"/>
      <c r="P38" s="123">
        <v>41172</v>
      </c>
      <c r="Q38" s="65" t="s">
        <v>767</v>
      </c>
      <c r="R38" s="123"/>
      <c r="S38" s="65"/>
      <c r="T38" s="65"/>
      <c r="U38" s="65"/>
      <c r="V38" s="76">
        <v>41694</v>
      </c>
      <c r="W38" s="65" t="s">
        <v>1253</v>
      </c>
      <c r="X38" s="65"/>
      <c r="Y38" s="65"/>
      <c r="Z38" s="76">
        <v>42031</v>
      </c>
      <c r="AA38" s="65" t="s">
        <v>876</v>
      </c>
      <c r="AB38" s="65"/>
      <c r="AC38" s="566" t="s">
        <v>1434</v>
      </c>
      <c r="AD38" s="709">
        <v>42465</v>
      </c>
      <c r="AE38" s="65" t="s">
        <v>1434</v>
      </c>
    </row>
    <row r="39" spans="1:31" ht="15" customHeight="1" x14ac:dyDescent="0.25">
      <c r="A39" s="73">
        <v>36</v>
      </c>
      <c r="B39" s="755"/>
      <c r="C39" s="400" t="s">
        <v>65</v>
      </c>
      <c r="D39" s="76">
        <v>40022</v>
      </c>
      <c r="E39" s="76">
        <f t="shared" si="0"/>
        <v>40438</v>
      </c>
      <c r="F39" s="65" t="s">
        <v>23</v>
      </c>
      <c r="G39" s="65" t="s">
        <v>103</v>
      </c>
      <c r="H39" s="76">
        <v>40428</v>
      </c>
      <c r="I39" s="65" t="s">
        <v>211</v>
      </c>
      <c r="J39" s="76">
        <f t="shared" si="4"/>
        <v>40844</v>
      </c>
      <c r="K39" s="65" t="s">
        <v>248</v>
      </c>
      <c r="L39" s="76">
        <v>40813</v>
      </c>
      <c r="M39" s="65" t="s">
        <v>254</v>
      </c>
      <c r="N39" s="65"/>
      <c r="O39" s="65"/>
      <c r="P39" s="123">
        <v>41181</v>
      </c>
      <c r="Q39" s="65" t="s">
        <v>767</v>
      </c>
      <c r="R39" s="123"/>
      <c r="S39" s="65"/>
      <c r="T39" s="65"/>
      <c r="U39" s="65"/>
      <c r="V39" s="76">
        <v>41694</v>
      </c>
      <c r="W39" s="65" t="s">
        <v>1253</v>
      </c>
      <c r="X39" s="65"/>
      <c r="Y39" s="65"/>
      <c r="Z39" s="76">
        <v>42031</v>
      </c>
      <c r="AA39" s="65" t="s">
        <v>876</v>
      </c>
      <c r="AB39" s="65"/>
      <c r="AC39" s="566" t="s">
        <v>1434</v>
      </c>
      <c r="AD39" s="709">
        <v>42465</v>
      </c>
      <c r="AE39" s="65" t="s">
        <v>1434</v>
      </c>
    </row>
    <row r="40" spans="1:31" ht="15" customHeight="1" x14ac:dyDescent="0.25">
      <c r="A40" s="73">
        <v>37</v>
      </c>
      <c r="B40" s="755"/>
      <c r="C40" s="400" t="s">
        <v>66</v>
      </c>
      <c r="D40" s="76">
        <v>40071</v>
      </c>
      <c r="E40" s="76">
        <f t="shared" si="0"/>
        <v>40487</v>
      </c>
      <c r="F40" s="65" t="s">
        <v>23</v>
      </c>
      <c r="G40" s="65" t="s">
        <v>103</v>
      </c>
      <c r="H40" s="76">
        <v>40532</v>
      </c>
      <c r="I40" s="65" t="s">
        <v>211</v>
      </c>
      <c r="J40" s="76">
        <f t="shared" si="4"/>
        <v>40948</v>
      </c>
      <c r="K40" s="65" t="s">
        <v>248</v>
      </c>
      <c r="L40" s="76">
        <v>40807</v>
      </c>
      <c r="M40" s="65" t="s">
        <v>254</v>
      </c>
      <c r="N40" s="65"/>
      <c r="O40" s="65"/>
      <c r="P40" s="123">
        <v>41246</v>
      </c>
      <c r="Q40" s="65" t="s">
        <v>767</v>
      </c>
      <c r="R40" s="123"/>
      <c r="S40" s="65"/>
      <c r="T40" s="65"/>
      <c r="U40" s="65"/>
      <c r="V40" s="76">
        <v>41694</v>
      </c>
      <c r="W40" s="65" t="s">
        <v>1253</v>
      </c>
      <c r="X40" s="65"/>
      <c r="Y40" s="65"/>
      <c r="Z40" s="76">
        <v>42023</v>
      </c>
      <c r="AA40" s="65" t="s">
        <v>876</v>
      </c>
      <c r="AB40" s="76">
        <v>42338</v>
      </c>
      <c r="AC40" s="566" t="s">
        <v>1434</v>
      </c>
      <c r="AD40" s="709">
        <v>42485</v>
      </c>
      <c r="AE40" s="65" t="s">
        <v>1434</v>
      </c>
    </row>
    <row r="41" spans="1:31" ht="15" customHeight="1" x14ac:dyDescent="0.25">
      <c r="A41" s="73">
        <v>38</v>
      </c>
      <c r="B41" s="755"/>
      <c r="C41" s="400" t="s">
        <v>67</v>
      </c>
      <c r="D41" s="76">
        <v>40086</v>
      </c>
      <c r="E41" s="76">
        <f t="shared" si="0"/>
        <v>40502</v>
      </c>
      <c r="F41" s="65" t="s">
        <v>23</v>
      </c>
      <c r="G41" s="65" t="s">
        <v>103</v>
      </c>
      <c r="H41" s="76">
        <v>40532</v>
      </c>
      <c r="I41" s="65" t="s">
        <v>211</v>
      </c>
      <c r="J41" s="76">
        <f t="shared" si="4"/>
        <v>40948</v>
      </c>
      <c r="K41" s="65" t="s">
        <v>248</v>
      </c>
      <c r="L41" s="76">
        <v>40807</v>
      </c>
      <c r="M41" s="65" t="s">
        <v>254</v>
      </c>
      <c r="N41" s="65"/>
      <c r="O41" s="65"/>
      <c r="P41" s="123">
        <v>41246</v>
      </c>
      <c r="Q41" s="65" t="s">
        <v>767</v>
      </c>
      <c r="R41" s="123"/>
      <c r="S41" s="65"/>
      <c r="T41" s="65"/>
      <c r="U41" s="65"/>
      <c r="V41" s="76">
        <v>41694</v>
      </c>
      <c r="W41" s="65" t="s">
        <v>1253</v>
      </c>
      <c r="X41" s="76"/>
      <c r="Y41" s="65"/>
      <c r="Z41" s="76">
        <v>42021</v>
      </c>
      <c r="AA41" s="65" t="s">
        <v>876</v>
      </c>
      <c r="AB41" s="65"/>
      <c r="AC41" s="566" t="s">
        <v>1434</v>
      </c>
      <c r="AD41" s="709">
        <v>42471</v>
      </c>
      <c r="AE41" s="65" t="s">
        <v>1434</v>
      </c>
    </row>
    <row r="42" spans="1:31" ht="15" customHeight="1" x14ac:dyDescent="0.25">
      <c r="A42" s="73">
        <v>39</v>
      </c>
      <c r="B42" s="755"/>
      <c r="C42" s="400" t="s">
        <v>68</v>
      </c>
      <c r="D42" s="76">
        <v>40078</v>
      </c>
      <c r="E42" s="76">
        <f t="shared" si="0"/>
        <v>40494</v>
      </c>
      <c r="F42" s="65" t="s">
        <v>23</v>
      </c>
      <c r="G42" s="65" t="s">
        <v>103</v>
      </c>
      <c r="H42" s="76">
        <v>40532</v>
      </c>
      <c r="I42" s="65" t="s">
        <v>211</v>
      </c>
      <c r="J42" s="76">
        <f t="shared" si="4"/>
        <v>40948</v>
      </c>
      <c r="K42" s="65" t="s">
        <v>248</v>
      </c>
      <c r="L42" s="76">
        <v>40906</v>
      </c>
      <c r="M42" s="65" t="s">
        <v>254</v>
      </c>
      <c r="N42" s="65"/>
      <c r="O42" s="65"/>
      <c r="P42" s="105">
        <v>40911</v>
      </c>
      <c r="Q42" s="100" t="s">
        <v>254</v>
      </c>
      <c r="R42" s="399">
        <v>41309</v>
      </c>
      <c r="S42" s="65" t="s">
        <v>767</v>
      </c>
      <c r="T42" s="76"/>
      <c r="U42" s="65"/>
      <c r="V42" s="76">
        <v>41694</v>
      </c>
      <c r="W42" s="65" t="s">
        <v>1253</v>
      </c>
      <c r="X42" s="76"/>
      <c r="Y42" s="65"/>
      <c r="Z42" s="76">
        <v>42023</v>
      </c>
      <c r="AA42" s="65" t="s">
        <v>876</v>
      </c>
      <c r="AB42" s="76">
        <v>42355</v>
      </c>
      <c r="AC42" s="566" t="s">
        <v>1434</v>
      </c>
      <c r="AD42" s="709">
        <v>42443</v>
      </c>
      <c r="AE42" s="65" t="s">
        <v>1434</v>
      </c>
    </row>
    <row r="43" spans="1:31" ht="15" customHeight="1" x14ac:dyDescent="0.25">
      <c r="A43" s="73">
        <v>40</v>
      </c>
      <c r="B43" s="755"/>
      <c r="C43" s="400" t="s">
        <v>69</v>
      </c>
      <c r="D43" s="76">
        <v>40078</v>
      </c>
      <c r="E43" s="76">
        <f t="shared" si="0"/>
        <v>40494</v>
      </c>
      <c r="F43" s="65" t="s">
        <v>23</v>
      </c>
      <c r="G43" s="65" t="s">
        <v>103</v>
      </c>
      <c r="H43" s="76">
        <v>40532</v>
      </c>
      <c r="I43" s="65" t="s">
        <v>211</v>
      </c>
      <c r="J43" s="76">
        <f t="shared" si="4"/>
        <v>40948</v>
      </c>
      <c r="K43" s="65" t="s">
        <v>248</v>
      </c>
      <c r="L43" s="76">
        <v>40906</v>
      </c>
      <c r="M43" s="65" t="s">
        <v>254</v>
      </c>
      <c r="N43" s="65"/>
      <c r="O43" s="65"/>
      <c r="P43" s="76">
        <v>40911</v>
      </c>
      <c r="Q43" s="65" t="s">
        <v>254</v>
      </c>
      <c r="R43" s="399">
        <v>41330</v>
      </c>
      <c r="S43" s="65" t="s">
        <v>767</v>
      </c>
      <c r="T43" s="76"/>
      <c r="U43" s="65"/>
      <c r="V43" s="76">
        <v>41694</v>
      </c>
      <c r="W43" s="65" t="s">
        <v>1253</v>
      </c>
      <c r="X43" s="76"/>
      <c r="Y43" s="65"/>
      <c r="Z43" s="76">
        <v>42023</v>
      </c>
      <c r="AA43" s="65" t="s">
        <v>876</v>
      </c>
      <c r="AB43" s="76">
        <v>42366</v>
      </c>
      <c r="AC43" s="566" t="s">
        <v>1434</v>
      </c>
      <c r="AD43" s="709">
        <v>42431</v>
      </c>
      <c r="AE43" s="65" t="s">
        <v>1434</v>
      </c>
    </row>
    <row r="44" spans="1:31" ht="15" customHeight="1" x14ac:dyDescent="0.25">
      <c r="A44" s="73">
        <v>41</v>
      </c>
      <c r="B44" s="755"/>
      <c r="C44" s="400" t="s">
        <v>70</v>
      </c>
      <c r="D44" s="76">
        <v>40078</v>
      </c>
      <c r="E44" s="76">
        <f t="shared" si="0"/>
        <v>40494</v>
      </c>
      <c r="F44" s="65" t="s">
        <v>23</v>
      </c>
      <c r="G44" s="65" t="s">
        <v>103</v>
      </c>
      <c r="H44" s="76">
        <v>40532</v>
      </c>
      <c r="I44" s="65" t="s">
        <v>211</v>
      </c>
      <c r="J44" s="76">
        <f t="shared" si="4"/>
        <v>40948</v>
      </c>
      <c r="K44" s="65" t="s">
        <v>248</v>
      </c>
      <c r="L44" s="65"/>
      <c r="M44" s="65"/>
      <c r="N44" s="65"/>
      <c r="O44" s="65"/>
      <c r="P44" s="76">
        <v>40911</v>
      </c>
      <c r="Q44" s="65" t="s">
        <v>254</v>
      </c>
      <c r="R44" s="399">
        <v>41330</v>
      </c>
      <c r="S44" s="65" t="s">
        <v>767</v>
      </c>
      <c r="T44" s="76"/>
      <c r="U44" s="65"/>
      <c r="V44" s="76"/>
      <c r="W44" s="65"/>
      <c r="X44" s="65"/>
      <c r="Y44" s="65"/>
      <c r="Z44" s="76">
        <v>42058</v>
      </c>
      <c r="AA44" s="65" t="s">
        <v>876</v>
      </c>
      <c r="AB44" s="65"/>
      <c r="AC44" s="566"/>
      <c r="AD44" s="709">
        <v>42394</v>
      </c>
      <c r="AE44" s="65" t="s">
        <v>1434</v>
      </c>
    </row>
    <row r="45" spans="1:31" ht="15" customHeight="1" x14ac:dyDescent="0.25">
      <c r="A45" s="73">
        <v>42</v>
      </c>
      <c r="B45" s="755"/>
      <c r="C45" s="400" t="s">
        <v>71</v>
      </c>
      <c r="D45" s="76">
        <v>40078</v>
      </c>
      <c r="E45" s="76">
        <f t="shared" si="0"/>
        <v>40494</v>
      </c>
      <c r="F45" s="65" t="s">
        <v>23</v>
      </c>
      <c r="G45" s="65" t="s">
        <v>103</v>
      </c>
      <c r="H45" s="76">
        <v>40533</v>
      </c>
      <c r="I45" s="65" t="s">
        <v>211</v>
      </c>
      <c r="J45" s="76">
        <f t="shared" si="4"/>
        <v>40949</v>
      </c>
      <c r="K45" s="65" t="s">
        <v>248</v>
      </c>
      <c r="L45" s="65"/>
      <c r="M45" s="65"/>
      <c r="N45" s="65"/>
      <c r="O45" s="65"/>
      <c r="P45" s="76">
        <v>40911</v>
      </c>
      <c r="Q45" s="65" t="s">
        <v>254</v>
      </c>
      <c r="R45" s="399">
        <v>41330</v>
      </c>
      <c r="S45" s="65" t="s">
        <v>767</v>
      </c>
      <c r="T45" s="76"/>
      <c r="U45" s="65"/>
      <c r="V45" s="542"/>
      <c r="W45" s="543"/>
      <c r="X45" s="76"/>
      <c r="Y45" s="65"/>
      <c r="Z45" s="76">
        <v>42058</v>
      </c>
      <c r="AA45" s="65" t="s">
        <v>876</v>
      </c>
      <c r="AB45" s="65"/>
      <c r="AC45" s="566"/>
      <c r="AD45" s="709">
        <v>42471</v>
      </c>
      <c r="AE45" s="65" t="s">
        <v>1434</v>
      </c>
    </row>
    <row r="46" spans="1:31" ht="15" customHeight="1" x14ac:dyDescent="0.25">
      <c r="A46" s="73">
        <v>43</v>
      </c>
      <c r="B46" s="755"/>
      <c r="C46" s="400" t="s">
        <v>72</v>
      </c>
      <c r="D46" s="76">
        <v>40081</v>
      </c>
      <c r="E46" s="76">
        <f t="shared" si="0"/>
        <v>40497</v>
      </c>
      <c r="F46" s="65" t="s">
        <v>27</v>
      </c>
      <c r="G46" s="65" t="s">
        <v>103</v>
      </c>
      <c r="H46" s="76">
        <v>40541</v>
      </c>
      <c r="I46" s="65" t="s">
        <v>211</v>
      </c>
      <c r="J46" s="76">
        <f t="shared" si="4"/>
        <v>40957</v>
      </c>
      <c r="K46" s="65" t="s">
        <v>300</v>
      </c>
      <c r="L46" s="76"/>
      <c r="M46" s="65"/>
      <c r="N46" s="65"/>
      <c r="O46" s="65"/>
      <c r="P46" s="76">
        <v>40917</v>
      </c>
      <c r="Q46" s="65" t="s">
        <v>254</v>
      </c>
      <c r="R46" s="65"/>
      <c r="S46" s="65"/>
      <c r="T46" s="399">
        <v>41346</v>
      </c>
      <c r="U46" s="65" t="s">
        <v>914</v>
      </c>
      <c r="V46" s="76">
        <v>41687</v>
      </c>
      <c r="W46" s="65" t="s">
        <v>876</v>
      </c>
      <c r="X46" s="76">
        <v>42003</v>
      </c>
      <c r="Y46" s="65" t="s">
        <v>1303</v>
      </c>
      <c r="Z46" s="76">
        <v>42080</v>
      </c>
      <c r="AA46" s="65" t="s">
        <v>1297</v>
      </c>
      <c r="AB46" s="76">
        <v>42241</v>
      </c>
      <c r="AC46" s="566" t="s">
        <v>1408</v>
      </c>
      <c r="AD46" s="709">
        <v>42396</v>
      </c>
      <c r="AE46" s="65" t="s">
        <v>1447</v>
      </c>
    </row>
    <row r="47" spans="1:31" ht="15" customHeight="1" x14ac:dyDescent="0.25">
      <c r="A47" s="73">
        <v>44</v>
      </c>
      <c r="B47" s="755"/>
      <c r="C47" s="400" t="s">
        <v>73</v>
      </c>
      <c r="D47" s="76">
        <v>40081</v>
      </c>
      <c r="E47" s="76">
        <f t="shared" si="0"/>
        <v>40497</v>
      </c>
      <c r="F47" s="65" t="s">
        <v>27</v>
      </c>
      <c r="G47" s="65" t="s">
        <v>103</v>
      </c>
      <c r="H47" s="76">
        <v>40546</v>
      </c>
      <c r="I47" s="65" t="s">
        <v>211</v>
      </c>
      <c r="J47" s="76">
        <f t="shared" si="4"/>
        <v>40962</v>
      </c>
      <c r="K47" s="65" t="s">
        <v>300</v>
      </c>
      <c r="L47" s="65"/>
      <c r="M47" s="65"/>
      <c r="N47" s="65"/>
      <c r="O47" s="65"/>
      <c r="P47" s="76">
        <v>40918</v>
      </c>
      <c r="Q47" s="65" t="s">
        <v>254</v>
      </c>
      <c r="R47" s="65"/>
      <c r="S47" s="65"/>
      <c r="T47" s="399">
        <v>41281</v>
      </c>
      <c r="U47" s="65" t="s">
        <v>875</v>
      </c>
      <c r="V47" s="65"/>
      <c r="W47" s="65"/>
      <c r="X47" s="65"/>
      <c r="Y47" s="65"/>
      <c r="Z47" s="76">
        <v>42088</v>
      </c>
      <c r="AA47" s="65" t="s">
        <v>1305</v>
      </c>
      <c r="AB47" s="76">
        <v>42187</v>
      </c>
      <c r="AC47" s="566" t="s">
        <v>1395</v>
      </c>
      <c r="AD47" s="709">
        <v>42396</v>
      </c>
      <c r="AE47" s="65" t="s">
        <v>1447</v>
      </c>
    </row>
    <row r="48" spans="1:31" ht="15" customHeight="1" x14ac:dyDescent="0.25">
      <c r="A48" s="73">
        <v>45</v>
      </c>
      <c r="B48" s="755"/>
      <c r="C48" s="395" t="s">
        <v>37</v>
      </c>
      <c r="D48" s="76">
        <v>40318</v>
      </c>
      <c r="E48" s="76">
        <f t="shared" si="0"/>
        <v>40734</v>
      </c>
      <c r="F48" s="65" t="s">
        <v>202</v>
      </c>
      <c r="G48" s="65" t="s">
        <v>103</v>
      </c>
      <c r="H48" s="65"/>
      <c r="I48" s="65"/>
      <c r="J48" s="65"/>
      <c r="K48" s="65" t="s">
        <v>217</v>
      </c>
      <c r="L48" s="76">
        <v>40836</v>
      </c>
      <c r="M48" s="65" t="s">
        <v>360</v>
      </c>
      <c r="N48" s="65"/>
      <c r="O48" s="65"/>
      <c r="P48" s="76">
        <v>40988</v>
      </c>
      <c r="Q48" s="65" t="s">
        <v>254</v>
      </c>
      <c r="R48" s="65"/>
      <c r="S48" s="65"/>
      <c r="T48" s="65"/>
      <c r="U48" s="65"/>
      <c r="V48" s="65"/>
      <c r="W48" s="65"/>
      <c r="X48" s="65"/>
      <c r="Y48" s="65"/>
      <c r="Z48" s="76">
        <v>42233</v>
      </c>
      <c r="AA48" s="65" t="s">
        <v>1405</v>
      </c>
      <c r="AB48" s="65"/>
      <c r="AC48" s="566"/>
      <c r="AD48" s="566"/>
      <c r="AE48" s="65"/>
    </row>
    <row r="49" spans="1:31" ht="15" customHeight="1" x14ac:dyDescent="0.25">
      <c r="A49" s="73">
        <v>46</v>
      </c>
      <c r="B49" s="755"/>
      <c r="C49" s="77" t="s">
        <v>315</v>
      </c>
      <c r="D49" s="65"/>
      <c r="E49" s="76">
        <f t="shared" si="0"/>
        <v>416</v>
      </c>
      <c r="F49" s="65" t="s">
        <v>316</v>
      </c>
      <c r="G49" s="117" t="s">
        <v>103</v>
      </c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566"/>
      <c r="AD49" s="566"/>
      <c r="AE49" s="65"/>
    </row>
    <row r="50" spans="1:31" ht="15" customHeight="1" x14ac:dyDescent="0.25">
      <c r="A50" s="73">
        <v>47</v>
      </c>
      <c r="B50" s="755"/>
      <c r="C50" s="395" t="s">
        <v>74</v>
      </c>
      <c r="D50" s="76">
        <v>40162</v>
      </c>
      <c r="E50" s="76">
        <f t="shared" si="0"/>
        <v>40578</v>
      </c>
      <c r="F50" s="65" t="s">
        <v>27</v>
      </c>
      <c r="G50" s="65" t="s">
        <v>103</v>
      </c>
      <c r="H50" s="76">
        <v>40323</v>
      </c>
      <c r="I50" s="65" t="s">
        <v>203</v>
      </c>
      <c r="J50" s="76">
        <f t="shared" ref="J50:J62" si="5">H50+416</f>
        <v>40739</v>
      </c>
      <c r="K50" s="76" t="s">
        <v>889</v>
      </c>
      <c r="L50" s="76">
        <v>40610</v>
      </c>
      <c r="M50" s="65" t="s">
        <v>336</v>
      </c>
      <c r="N50" s="65"/>
      <c r="O50" s="65"/>
      <c r="P50" s="76">
        <v>40973</v>
      </c>
      <c r="Q50" s="65" t="s">
        <v>973</v>
      </c>
      <c r="R50" s="65"/>
      <c r="S50" s="65"/>
      <c r="T50" s="399">
        <v>41327</v>
      </c>
      <c r="U50" s="65" t="s">
        <v>888</v>
      </c>
      <c r="V50" s="399">
        <v>41562</v>
      </c>
      <c r="W50" s="65" t="s">
        <v>1011</v>
      </c>
      <c r="X50" s="76">
        <v>41974</v>
      </c>
      <c r="Y50" s="65" t="s">
        <v>876</v>
      </c>
      <c r="Z50" s="65"/>
      <c r="AA50" s="65"/>
      <c r="AB50" s="76">
        <v>42348</v>
      </c>
      <c r="AC50" s="566" t="s">
        <v>1432</v>
      </c>
      <c r="AD50" s="709">
        <v>42485</v>
      </c>
      <c r="AE50" s="65" t="s">
        <v>1469</v>
      </c>
    </row>
    <row r="51" spans="1:31" ht="15" customHeight="1" x14ac:dyDescent="0.25">
      <c r="A51" s="73">
        <v>48</v>
      </c>
      <c r="B51" s="78"/>
      <c r="C51" s="395" t="s">
        <v>75</v>
      </c>
      <c r="D51" s="76">
        <v>40088</v>
      </c>
      <c r="E51" s="76">
        <f t="shared" si="0"/>
        <v>40504</v>
      </c>
      <c r="F51" s="65" t="s">
        <v>27</v>
      </c>
      <c r="G51" s="65" t="s">
        <v>103</v>
      </c>
      <c r="H51" s="76">
        <v>40318</v>
      </c>
      <c r="I51" s="65" t="s">
        <v>205</v>
      </c>
      <c r="J51" s="76">
        <f t="shared" si="5"/>
        <v>40734</v>
      </c>
      <c r="K51" s="76" t="s">
        <v>995</v>
      </c>
      <c r="L51" s="76">
        <v>40477</v>
      </c>
      <c r="M51" s="65" t="s">
        <v>283</v>
      </c>
      <c r="N51" s="76"/>
      <c r="O51" s="76">
        <v>40504</v>
      </c>
      <c r="P51" s="76">
        <v>40806</v>
      </c>
      <c r="Q51" s="65" t="s">
        <v>366</v>
      </c>
      <c r="R51" s="76">
        <v>40945</v>
      </c>
      <c r="S51" s="65" t="s">
        <v>716</v>
      </c>
      <c r="T51" s="399">
        <v>41295</v>
      </c>
      <c r="U51" s="65" t="s">
        <v>333</v>
      </c>
      <c r="V51" s="76">
        <v>41655</v>
      </c>
      <c r="W51" s="65" t="s">
        <v>1244</v>
      </c>
      <c r="X51" s="65"/>
      <c r="Y51" s="65"/>
      <c r="Z51" s="65"/>
      <c r="AA51" s="65"/>
      <c r="AB51" s="76">
        <v>42261</v>
      </c>
      <c r="AC51" s="566" t="s">
        <v>1413</v>
      </c>
      <c r="AD51" s="566"/>
      <c r="AE51" s="65"/>
    </row>
    <row r="52" spans="1:31" ht="15" customHeight="1" x14ac:dyDescent="0.25">
      <c r="A52" s="73">
        <v>49</v>
      </c>
      <c r="B52" s="78"/>
      <c r="C52" s="395" t="s">
        <v>76</v>
      </c>
      <c r="D52" s="76">
        <v>40095</v>
      </c>
      <c r="E52" s="76">
        <f t="shared" si="0"/>
        <v>40511</v>
      </c>
      <c r="F52" s="65" t="s">
        <v>27</v>
      </c>
      <c r="G52" s="65" t="s">
        <v>103</v>
      </c>
      <c r="H52" s="76">
        <v>40322</v>
      </c>
      <c r="I52" s="65" t="s">
        <v>204</v>
      </c>
      <c r="J52" s="76">
        <f t="shared" si="5"/>
        <v>40738</v>
      </c>
      <c r="K52" s="76" t="s">
        <v>995</v>
      </c>
      <c r="L52" s="76">
        <v>40477</v>
      </c>
      <c r="M52" s="65" t="s">
        <v>267</v>
      </c>
      <c r="N52" s="76"/>
      <c r="O52" s="76">
        <v>40504</v>
      </c>
      <c r="P52" s="76">
        <v>40806</v>
      </c>
      <c r="Q52" s="65" t="s">
        <v>366</v>
      </c>
      <c r="R52" s="76">
        <v>40945</v>
      </c>
      <c r="S52" s="65" t="s">
        <v>716</v>
      </c>
      <c r="T52" s="399">
        <v>41296</v>
      </c>
      <c r="U52" s="65" t="s">
        <v>333</v>
      </c>
      <c r="V52" s="76">
        <v>41711</v>
      </c>
      <c r="W52" s="65" t="s">
        <v>1260</v>
      </c>
      <c r="X52" s="65"/>
      <c r="Y52" s="65"/>
      <c r="Z52" s="65"/>
      <c r="AA52" s="65"/>
      <c r="AB52" s="76">
        <v>42262</v>
      </c>
      <c r="AC52" s="566" t="s">
        <v>1413</v>
      </c>
      <c r="AD52" s="566"/>
      <c r="AE52" s="65"/>
    </row>
    <row r="53" spans="1:31" ht="15" customHeight="1" x14ac:dyDescent="0.25">
      <c r="A53" s="73">
        <v>50</v>
      </c>
      <c r="B53" s="78"/>
      <c r="C53" s="400" t="s">
        <v>77</v>
      </c>
      <c r="D53" s="76">
        <v>40095</v>
      </c>
      <c r="E53" s="76">
        <f t="shared" si="0"/>
        <v>40511</v>
      </c>
      <c r="F53" s="65" t="s">
        <v>27</v>
      </c>
      <c r="G53" s="65" t="s">
        <v>103</v>
      </c>
      <c r="H53" s="76">
        <v>40322</v>
      </c>
      <c r="I53" s="65" t="s">
        <v>204</v>
      </c>
      <c r="J53" s="76">
        <f t="shared" si="5"/>
        <v>40738</v>
      </c>
      <c r="K53" s="76" t="s">
        <v>995</v>
      </c>
      <c r="L53" s="76">
        <v>40490</v>
      </c>
      <c r="M53" s="65" t="s">
        <v>276</v>
      </c>
      <c r="N53" s="76"/>
      <c r="O53" s="76">
        <v>40504</v>
      </c>
      <c r="P53" s="76">
        <v>40812</v>
      </c>
      <c r="Q53" s="65" t="s">
        <v>367</v>
      </c>
      <c r="R53" s="76">
        <v>40945</v>
      </c>
      <c r="S53" s="65" t="s">
        <v>715</v>
      </c>
      <c r="T53" s="399">
        <v>41289</v>
      </c>
      <c r="U53" s="65" t="s">
        <v>333</v>
      </c>
      <c r="V53" s="65" t="s">
        <v>1261</v>
      </c>
      <c r="W53" s="65" t="s">
        <v>1262</v>
      </c>
      <c r="X53" s="76">
        <v>41962</v>
      </c>
      <c r="Y53" s="65" t="s">
        <v>392</v>
      </c>
      <c r="Z53" s="65"/>
      <c r="AA53" s="65"/>
      <c r="AB53" s="76">
        <v>42261</v>
      </c>
      <c r="AC53" s="566" t="s">
        <v>1413</v>
      </c>
      <c r="AD53" s="566"/>
      <c r="AE53" s="65"/>
    </row>
    <row r="54" spans="1:31" ht="23.25" customHeight="1" x14ac:dyDescent="0.25">
      <c r="A54" s="73">
        <v>51</v>
      </c>
      <c r="B54" s="78"/>
      <c r="C54" s="395" t="s">
        <v>78</v>
      </c>
      <c r="D54" s="76">
        <v>40095</v>
      </c>
      <c r="E54" s="76">
        <f t="shared" si="0"/>
        <v>40511</v>
      </c>
      <c r="F54" s="65" t="s">
        <v>27</v>
      </c>
      <c r="G54" s="65" t="s">
        <v>103</v>
      </c>
      <c r="H54" s="76">
        <v>40267</v>
      </c>
      <c r="I54" s="65" t="s">
        <v>200</v>
      </c>
      <c r="J54" s="76">
        <f t="shared" si="5"/>
        <v>40683</v>
      </c>
      <c r="K54" s="76" t="s">
        <v>995</v>
      </c>
      <c r="L54" s="76">
        <v>40490</v>
      </c>
      <c r="M54" s="65" t="s">
        <v>266</v>
      </c>
      <c r="N54" s="76"/>
      <c r="O54" s="76">
        <v>40504</v>
      </c>
      <c r="P54" s="76">
        <v>40812</v>
      </c>
      <c r="Q54" s="65" t="s">
        <v>367</v>
      </c>
      <c r="R54" s="76">
        <v>40945</v>
      </c>
      <c r="S54" s="65" t="s">
        <v>715</v>
      </c>
      <c r="T54" s="399">
        <v>41289</v>
      </c>
      <c r="U54" s="65" t="s">
        <v>333</v>
      </c>
      <c r="V54" s="76">
        <v>41646</v>
      </c>
      <c r="W54" s="65" t="s">
        <v>1249</v>
      </c>
      <c r="X54" s="76">
        <v>41962</v>
      </c>
      <c r="Y54" s="65" t="s">
        <v>392</v>
      </c>
      <c r="Z54" s="65"/>
      <c r="AA54" s="65"/>
      <c r="AB54" s="76">
        <v>42261</v>
      </c>
      <c r="AC54" s="566" t="s">
        <v>1413</v>
      </c>
      <c r="AD54" s="566"/>
      <c r="AE54" s="65"/>
    </row>
    <row r="55" spans="1:31" ht="30.75" customHeight="1" x14ac:dyDescent="0.25">
      <c r="A55" s="73">
        <v>52</v>
      </c>
      <c r="B55" s="78"/>
      <c r="C55" s="395" t="s">
        <v>79</v>
      </c>
      <c r="D55" s="76">
        <v>40088</v>
      </c>
      <c r="E55" s="76">
        <f t="shared" si="0"/>
        <v>40504</v>
      </c>
      <c r="F55" s="65" t="s">
        <v>27</v>
      </c>
      <c r="G55" s="65" t="s">
        <v>103</v>
      </c>
      <c r="H55" s="76">
        <v>40301</v>
      </c>
      <c r="I55" s="65" t="s">
        <v>200</v>
      </c>
      <c r="J55" s="76">
        <f t="shared" si="5"/>
        <v>40717</v>
      </c>
      <c r="K55" s="76" t="s">
        <v>995</v>
      </c>
      <c r="L55" s="76">
        <v>40491</v>
      </c>
      <c r="M55" s="65" t="s">
        <v>266</v>
      </c>
      <c r="N55" s="76"/>
      <c r="O55" s="76">
        <v>40504</v>
      </c>
      <c r="P55" s="76">
        <v>40800</v>
      </c>
      <c r="Q55" s="65" t="s">
        <v>367</v>
      </c>
      <c r="R55" s="76">
        <v>40952</v>
      </c>
      <c r="S55" s="65" t="s">
        <v>715</v>
      </c>
      <c r="T55" s="399">
        <v>41352</v>
      </c>
      <c r="U55" s="65" t="s">
        <v>915</v>
      </c>
      <c r="V55" s="76">
        <v>41774</v>
      </c>
      <c r="W55" s="65" t="s">
        <v>1249</v>
      </c>
      <c r="X55" s="65"/>
      <c r="Y55" s="65"/>
      <c r="Z55" s="65"/>
      <c r="AA55" s="65"/>
      <c r="AB55" s="76">
        <v>42291</v>
      </c>
      <c r="AC55" s="566" t="s">
        <v>1418</v>
      </c>
      <c r="AD55" s="566"/>
      <c r="AE55" s="65"/>
    </row>
    <row r="56" spans="1:31" ht="24" customHeight="1" x14ac:dyDescent="0.25">
      <c r="A56" s="73">
        <v>53</v>
      </c>
      <c r="B56" s="78"/>
      <c r="C56" s="395" t="s">
        <v>80</v>
      </c>
      <c r="D56" s="76">
        <v>40088</v>
      </c>
      <c r="E56" s="76">
        <f t="shared" si="0"/>
        <v>40504</v>
      </c>
      <c r="F56" s="65" t="s">
        <v>27</v>
      </c>
      <c r="G56" s="65" t="s">
        <v>103</v>
      </c>
      <c r="H56" s="76">
        <v>40323</v>
      </c>
      <c r="I56" s="65" t="s">
        <v>204</v>
      </c>
      <c r="J56" s="76">
        <f t="shared" si="5"/>
        <v>40739</v>
      </c>
      <c r="K56" s="76" t="s">
        <v>995</v>
      </c>
      <c r="L56" s="76">
        <v>40492</v>
      </c>
      <c r="M56" s="65" t="s">
        <v>266</v>
      </c>
      <c r="N56" s="65"/>
      <c r="O56" s="76">
        <v>40504</v>
      </c>
      <c r="P56" s="76">
        <v>40800</v>
      </c>
      <c r="Q56" s="65" t="s">
        <v>367</v>
      </c>
      <c r="R56" s="76">
        <v>40952</v>
      </c>
      <c r="S56" s="65" t="s">
        <v>715</v>
      </c>
      <c r="T56" s="399">
        <v>41352</v>
      </c>
      <c r="U56" s="65" t="s">
        <v>916</v>
      </c>
      <c r="V56" s="76">
        <v>41774</v>
      </c>
      <c r="W56" s="65" t="s">
        <v>1249</v>
      </c>
      <c r="X56" s="76">
        <v>41940</v>
      </c>
      <c r="Y56" s="65" t="s">
        <v>392</v>
      </c>
      <c r="Z56" s="65"/>
      <c r="AA56" s="65"/>
      <c r="AB56" s="76">
        <v>42262</v>
      </c>
      <c r="AC56" s="566" t="s">
        <v>1413</v>
      </c>
      <c r="AD56" s="709">
        <v>42496</v>
      </c>
      <c r="AE56" s="65" t="s">
        <v>1471</v>
      </c>
    </row>
    <row r="57" spans="1:31" ht="24.75" customHeight="1" x14ac:dyDescent="0.25">
      <c r="A57" s="73"/>
      <c r="B57" s="326"/>
      <c r="C57" s="400" t="s">
        <v>996</v>
      </c>
      <c r="D57" s="76">
        <v>41214</v>
      </c>
      <c r="E57" s="76">
        <v>41215</v>
      </c>
      <c r="F57" s="75" t="s">
        <v>258</v>
      </c>
      <c r="G57" s="65"/>
      <c r="H57" s="65"/>
      <c r="I57" s="65"/>
      <c r="J57" s="65"/>
      <c r="K57" s="65"/>
      <c r="L57" s="65"/>
      <c r="M57" s="65"/>
      <c r="N57" s="65"/>
      <c r="O57" s="76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76">
        <v>42283</v>
      </c>
      <c r="AA57" s="65" t="s">
        <v>876</v>
      </c>
      <c r="AB57" s="76">
        <v>42282</v>
      </c>
      <c r="AC57" s="566" t="s">
        <v>1419</v>
      </c>
      <c r="AD57" s="566"/>
      <c r="AE57" s="65"/>
    </row>
    <row r="58" spans="1:31" ht="32.25" customHeight="1" x14ac:dyDescent="0.25">
      <c r="A58" s="73"/>
      <c r="B58" s="582"/>
      <c r="C58" s="583" t="s">
        <v>997</v>
      </c>
      <c r="D58" s="99">
        <v>41214</v>
      </c>
      <c r="E58" s="99">
        <v>41215</v>
      </c>
      <c r="F58" s="98" t="s">
        <v>258</v>
      </c>
      <c r="G58" s="83"/>
      <c r="H58" s="83"/>
      <c r="I58" s="83"/>
      <c r="J58" s="83"/>
      <c r="K58" s="83"/>
      <c r="L58" s="83"/>
      <c r="M58" s="83"/>
      <c r="N58" s="83"/>
      <c r="O58" s="99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76">
        <v>42283</v>
      </c>
      <c r="AA58" s="65" t="s">
        <v>876</v>
      </c>
      <c r="AB58" s="76">
        <v>42282</v>
      </c>
      <c r="AC58" s="566" t="s">
        <v>1419</v>
      </c>
      <c r="AD58" s="566"/>
      <c r="AE58" s="65"/>
    </row>
    <row r="59" spans="1:31" ht="15" customHeight="1" x14ac:dyDescent="0.25">
      <c r="A59" s="73">
        <v>54</v>
      </c>
      <c r="B59" s="78"/>
      <c r="C59" s="395" t="s">
        <v>81</v>
      </c>
      <c r="D59" s="76">
        <v>40389</v>
      </c>
      <c r="E59" s="76">
        <f t="shared" si="0"/>
        <v>40805</v>
      </c>
      <c r="F59" s="65" t="s">
        <v>241</v>
      </c>
      <c r="G59" s="65" t="s">
        <v>103</v>
      </c>
      <c r="H59" s="76">
        <v>40476</v>
      </c>
      <c r="I59" s="65" t="s">
        <v>263</v>
      </c>
      <c r="J59" s="76">
        <f t="shared" si="5"/>
        <v>40892</v>
      </c>
      <c r="K59" s="65" t="s">
        <v>232</v>
      </c>
      <c r="L59" s="76">
        <v>40875</v>
      </c>
      <c r="M59" s="65" t="s">
        <v>372</v>
      </c>
      <c r="N59" s="65"/>
      <c r="O59" s="65"/>
      <c r="P59" s="65"/>
      <c r="Q59" s="65"/>
      <c r="R59" s="76">
        <v>41135</v>
      </c>
      <c r="S59" s="65" t="s">
        <v>351</v>
      </c>
      <c r="T59" s="65"/>
      <c r="U59" s="65"/>
      <c r="V59" s="76">
        <v>41646</v>
      </c>
      <c r="W59" s="65" t="s">
        <v>1250</v>
      </c>
      <c r="X59" s="76">
        <v>41906</v>
      </c>
      <c r="Y59" s="65" t="s">
        <v>1288</v>
      </c>
      <c r="Z59" s="65"/>
      <c r="AA59" s="65"/>
      <c r="AB59" s="76">
        <v>42291</v>
      </c>
      <c r="AC59" s="566" t="s">
        <v>1417</v>
      </c>
      <c r="AD59" s="566"/>
      <c r="AE59" s="65"/>
    </row>
    <row r="60" spans="1:31" ht="15" customHeight="1" x14ac:dyDescent="0.25">
      <c r="A60" s="73">
        <v>55</v>
      </c>
      <c r="B60" s="78"/>
      <c r="C60" s="395" t="s">
        <v>82</v>
      </c>
      <c r="D60" s="76">
        <v>40389</v>
      </c>
      <c r="E60" s="76">
        <f t="shared" si="0"/>
        <v>40805</v>
      </c>
      <c r="F60" s="65" t="s">
        <v>241</v>
      </c>
      <c r="G60" s="65" t="s">
        <v>103</v>
      </c>
      <c r="H60" s="76">
        <v>40476</v>
      </c>
      <c r="I60" s="65" t="s">
        <v>263</v>
      </c>
      <c r="J60" s="76">
        <f t="shared" si="5"/>
        <v>40892</v>
      </c>
      <c r="K60" s="65" t="s">
        <v>232</v>
      </c>
      <c r="L60" s="76">
        <v>40875</v>
      </c>
      <c r="M60" s="65" t="s">
        <v>372</v>
      </c>
      <c r="N60" s="65"/>
      <c r="O60" s="65"/>
      <c r="P60" s="65"/>
      <c r="Q60" s="65"/>
      <c r="R60" s="76">
        <v>41136</v>
      </c>
      <c r="S60" s="65" t="s">
        <v>351</v>
      </c>
      <c r="T60" s="65"/>
      <c r="U60" s="65"/>
      <c r="V60" s="76">
        <v>41907</v>
      </c>
      <c r="W60" s="65" t="s">
        <v>1287</v>
      </c>
      <c r="X60" s="65"/>
      <c r="Y60" s="65"/>
      <c r="Z60" s="65"/>
      <c r="AA60" s="65"/>
      <c r="AB60" s="76">
        <v>42296</v>
      </c>
      <c r="AC60" s="566" t="s">
        <v>1417</v>
      </c>
      <c r="AD60" s="566"/>
      <c r="AE60" s="65"/>
    </row>
    <row r="61" spans="1:31" ht="15" customHeight="1" x14ac:dyDescent="0.25">
      <c r="A61" s="73">
        <v>56</v>
      </c>
      <c r="B61" s="78"/>
      <c r="C61" s="395" t="s">
        <v>83</v>
      </c>
      <c r="D61" s="76">
        <v>40389</v>
      </c>
      <c r="E61" s="76">
        <f t="shared" si="0"/>
        <v>40805</v>
      </c>
      <c r="F61" s="65" t="s">
        <v>241</v>
      </c>
      <c r="G61" s="65" t="s">
        <v>103</v>
      </c>
      <c r="H61" s="76">
        <v>40476</v>
      </c>
      <c r="I61" s="65" t="s">
        <v>263</v>
      </c>
      <c r="J61" s="76">
        <f t="shared" si="5"/>
        <v>40892</v>
      </c>
      <c r="K61" s="65" t="s">
        <v>232</v>
      </c>
      <c r="L61" s="76">
        <v>40876</v>
      </c>
      <c r="M61" s="65" t="s">
        <v>372</v>
      </c>
      <c r="N61" s="65"/>
      <c r="O61" s="65"/>
      <c r="P61" s="65"/>
      <c r="Q61" s="65"/>
      <c r="R61" s="76">
        <v>41137</v>
      </c>
      <c r="S61" s="65" t="s">
        <v>351</v>
      </c>
      <c r="T61" s="65"/>
      <c r="U61" s="65"/>
      <c r="V61" s="76">
        <v>41907</v>
      </c>
      <c r="W61" s="65" t="s">
        <v>1287</v>
      </c>
      <c r="X61" s="65"/>
      <c r="Y61" s="65"/>
      <c r="Z61" s="65"/>
      <c r="AA61" s="65"/>
      <c r="AB61" s="76">
        <v>42296</v>
      </c>
      <c r="AC61" s="566" t="s">
        <v>1417</v>
      </c>
      <c r="AD61" s="566"/>
      <c r="AE61" s="65"/>
    </row>
    <row r="62" spans="1:31" ht="15" customHeight="1" x14ac:dyDescent="0.25">
      <c r="A62" s="73">
        <v>57</v>
      </c>
      <c r="B62" s="78"/>
      <c r="C62" s="395" t="s">
        <v>84</v>
      </c>
      <c r="D62" s="76">
        <v>40389</v>
      </c>
      <c r="E62" s="76">
        <f t="shared" si="0"/>
        <v>40805</v>
      </c>
      <c r="F62" s="65" t="s">
        <v>241</v>
      </c>
      <c r="G62" s="65" t="s">
        <v>103</v>
      </c>
      <c r="H62" s="76">
        <v>40476</v>
      </c>
      <c r="I62" s="65" t="s">
        <v>263</v>
      </c>
      <c r="J62" s="76">
        <f t="shared" si="5"/>
        <v>40892</v>
      </c>
      <c r="K62" s="65" t="s">
        <v>232</v>
      </c>
      <c r="L62" s="76">
        <v>40877</v>
      </c>
      <c r="M62" s="65" t="s">
        <v>372</v>
      </c>
      <c r="N62" s="65"/>
      <c r="O62" s="65"/>
      <c r="P62" s="65"/>
      <c r="Q62" s="65"/>
      <c r="R62" s="76">
        <v>41138</v>
      </c>
      <c r="S62" s="65" t="s">
        <v>351</v>
      </c>
      <c r="T62" s="65"/>
      <c r="U62" s="65"/>
      <c r="V62" s="542">
        <v>41896</v>
      </c>
      <c r="W62" s="543" t="s">
        <v>1289</v>
      </c>
      <c r="X62" s="65"/>
      <c r="Y62" s="65"/>
      <c r="Z62" s="65"/>
      <c r="AA62" s="65"/>
      <c r="AB62" s="76">
        <v>42291</v>
      </c>
      <c r="AC62" s="566" t="s">
        <v>1417</v>
      </c>
      <c r="AD62" s="566"/>
      <c r="AE62" s="65"/>
    </row>
    <row r="63" spans="1:31" ht="26.25" customHeight="1" x14ac:dyDescent="0.25">
      <c r="A63" s="73">
        <v>58</v>
      </c>
      <c r="B63" s="78"/>
      <c r="C63" s="395" t="s">
        <v>218</v>
      </c>
      <c r="D63" s="76">
        <v>40326</v>
      </c>
      <c r="E63" s="76">
        <f t="shared" si="0"/>
        <v>40742</v>
      </c>
      <c r="F63" s="65" t="s">
        <v>206</v>
      </c>
      <c r="G63" s="65" t="s">
        <v>103</v>
      </c>
      <c r="H63" s="65"/>
      <c r="I63" s="65"/>
      <c r="J63" s="65"/>
      <c r="K63" s="65" t="s">
        <v>881</v>
      </c>
      <c r="L63" s="76">
        <v>40904</v>
      </c>
      <c r="M63" s="65" t="s">
        <v>254</v>
      </c>
      <c r="N63" s="65"/>
      <c r="O63" s="65"/>
      <c r="P63" s="76"/>
      <c r="Q63" s="65"/>
      <c r="R63" s="76">
        <v>41172</v>
      </c>
      <c r="S63" s="65" t="s">
        <v>351</v>
      </c>
      <c r="T63" s="65"/>
      <c r="U63" s="65"/>
      <c r="V63" s="76">
        <v>41666</v>
      </c>
      <c r="W63" s="65" t="s">
        <v>876</v>
      </c>
      <c r="X63" s="76"/>
      <c r="Y63" s="65"/>
      <c r="Z63" s="76">
        <v>42248</v>
      </c>
      <c r="AA63" s="65" t="s">
        <v>1410</v>
      </c>
      <c r="AB63" s="76">
        <v>42429</v>
      </c>
      <c r="AC63" s="566" t="s">
        <v>1456</v>
      </c>
      <c r="AD63" s="566"/>
      <c r="AE63" s="65"/>
    </row>
    <row r="64" spans="1:31" ht="15" customHeight="1" x14ac:dyDescent="0.25">
      <c r="A64" s="73">
        <v>59</v>
      </c>
      <c r="B64" s="78"/>
      <c r="C64" s="395" t="s">
        <v>85</v>
      </c>
      <c r="D64" s="76">
        <v>40323</v>
      </c>
      <c r="E64" s="76">
        <f t="shared" si="0"/>
        <v>40739</v>
      </c>
      <c r="F64" s="65" t="s">
        <v>225</v>
      </c>
      <c r="G64" s="64" t="s">
        <v>103</v>
      </c>
      <c r="H64" s="76"/>
      <c r="I64" s="65"/>
      <c r="J64" s="76"/>
      <c r="K64" s="65"/>
      <c r="L64" s="65"/>
      <c r="M64" s="65"/>
      <c r="N64" s="65"/>
      <c r="O64" s="65"/>
      <c r="P64" s="76">
        <v>41117</v>
      </c>
      <c r="Q64" s="65" t="s">
        <v>764</v>
      </c>
      <c r="R64" s="65"/>
      <c r="S64" s="65"/>
      <c r="T64" s="65"/>
      <c r="U64" s="65"/>
      <c r="V64" s="76">
        <v>41659</v>
      </c>
      <c r="W64" s="65" t="s">
        <v>876</v>
      </c>
      <c r="X64" s="76">
        <v>42030</v>
      </c>
      <c r="Y64" s="65" t="s">
        <v>1373</v>
      </c>
      <c r="Z64" s="65"/>
      <c r="AA64" s="65"/>
      <c r="AB64" s="76">
        <v>42366</v>
      </c>
      <c r="AC64" s="566" t="s">
        <v>1443</v>
      </c>
      <c r="AD64" s="566"/>
      <c r="AE64" s="65"/>
    </row>
    <row r="65" spans="1:31" ht="15" customHeight="1" x14ac:dyDescent="0.25">
      <c r="A65" s="73">
        <v>60</v>
      </c>
      <c r="B65" s="78"/>
      <c r="C65" s="77" t="s">
        <v>231</v>
      </c>
      <c r="D65" s="76">
        <v>40088</v>
      </c>
      <c r="E65" s="76">
        <f t="shared" si="0"/>
        <v>40504</v>
      </c>
      <c r="F65" s="65"/>
      <c r="G65" s="65" t="s">
        <v>103</v>
      </c>
      <c r="H65" s="76">
        <v>40450</v>
      </c>
      <c r="I65" s="65" t="s">
        <v>275</v>
      </c>
      <c r="J65" s="76">
        <f>H65+416</f>
        <v>40866</v>
      </c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566"/>
      <c r="AD65" s="566"/>
      <c r="AE65" s="65"/>
    </row>
    <row r="66" spans="1:31" ht="15" customHeight="1" x14ac:dyDescent="0.25">
      <c r="A66" s="73">
        <v>61</v>
      </c>
      <c r="B66" s="78"/>
      <c r="C66" s="77" t="s">
        <v>86</v>
      </c>
      <c r="D66" s="76">
        <v>40088</v>
      </c>
      <c r="E66" s="76">
        <f t="shared" si="0"/>
        <v>40504</v>
      </c>
      <c r="F66" s="65"/>
      <c r="G66" s="65" t="s">
        <v>103</v>
      </c>
      <c r="H66" s="76">
        <v>40455</v>
      </c>
      <c r="I66" s="65" t="s">
        <v>277</v>
      </c>
      <c r="J66" s="76">
        <f>H66+416</f>
        <v>40871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566"/>
      <c r="AD66" s="566"/>
      <c r="AE66" s="65"/>
    </row>
    <row r="67" spans="1:31" ht="15" customHeight="1" x14ac:dyDescent="0.25">
      <c r="A67" s="73">
        <v>62</v>
      </c>
      <c r="B67" s="78"/>
      <c r="C67" s="77" t="s">
        <v>87</v>
      </c>
      <c r="D67" s="76">
        <v>40470</v>
      </c>
      <c r="E67" s="76">
        <f t="shared" si="0"/>
        <v>40886</v>
      </c>
      <c r="F67" s="65" t="s">
        <v>260</v>
      </c>
      <c r="G67" s="65" t="s">
        <v>103</v>
      </c>
      <c r="H67" s="65"/>
      <c r="I67" s="65"/>
      <c r="J67" s="65"/>
      <c r="K67" s="65" t="s">
        <v>870</v>
      </c>
      <c r="L67" s="76">
        <v>41255</v>
      </c>
      <c r="M67" s="65" t="s">
        <v>886</v>
      </c>
      <c r="N67" s="65"/>
      <c r="O67" s="65"/>
      <c r="P67" s="65"/>
      <c r="Q67" s="65"/>
      <c r="R67" s="76">
        <v>41330</v>
      </c>
      <c r="S67" s="65" t="s">
        <v>887</v>
      </c>
      <c r="T67" s="399">
        <v>41388</v>
      </c>
      <c r="U67" s="65" t="s">
        <v>910</v>
      </c>
      <c r="V67" s="399">
        <v>41590</v>
      </c>
      <c r="W67" s="65" t="s">
        <v>1010</v>
      </c>
      <c r="X67" s="76">
        <v>41884</v>
      </c>
      <c r="Y67" s="65" t="s">
        <v>876</v>
      </c>
      <c r="Z67" s="76">
        <v>42164</v>
      </c>
      <c r="AA67" s="65" t="s">
        <v>1390</v>
      </c>
      <c r="AB67" s="65"/>
      <c r="AC67" s="566"/>
      <c r="AD67" s="709">
        <v>42403</v>
      </c>
      <c r="AE67" s="711" t="s">
        <v>1450</v>
      </c>
    </row>
    <row r="68" spans="1:31" ht="15" customHeight="1" x14ac:dyDescent="0.25">
      <c r="A68" s="73">
        <v>63</v>
      </c>
      <c r="B68" s="78"/>
      <c r="C68" s="77" t="s">
        <v>106</v>
      </c>
      <c r="D68" s="99">
        <v>40197</v>
      </c>
      <c r="E68" s="99">
        <f t="shared" si="0"/>
        <v>40613</v>
      </c>
      <c r="F68" s="65"/>
      <c r="G68" s="65" t="s">
        <v>103</v>
      </c>
      <c r="H68" s="76">
        <v>40625</v>
      </c>
      <c r="I68" s="65" t="s">
        <v>349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76">
        <v>41554</v>
      </c>
      <c r="U68" s="65" t="s">
        <v>998</v>
      </c>
      <c r="V68" s="65"/>
      <c r="W68" s="65"/>
      <c r="X68" s="76">
        <v>41975</v>
      </c>
      <c r="Y68" s="65" t="s">
        <v>1290</v>
      </c>
      <c r="Z68" s="65"/>
      <c r="AA68" s="65"/>
      <c r="AB68" s="65"/>
      <c r="AC68" s="566"/>
      <c r="AD68" s="709">
        <v>42388</v>
      </c>
      <c r="AE68" s="65" t="s">
        <v>1445</v>
      </c>
    </row>
    <row r="69" spans="1:31" x14ac:dyDescent="0.25">
      <c r="A69" s="73">
        <v>63</v>
      </c>
      <c r="B69" s="94"/>
      <c r="C69" s="98" t="s">
        <v>192</v>
      </c>
      <c r="D69" s="105">
        <v>40211</v>
      </c>
      <c r="E69" s="99">
        <f t="shared" si="0"/>
        <v>40627</v>
      </c>
      <c r="F69" s="97" t="s">
        <v>268</v>
      </c>
      <c r="G69" s="65" t="s">
        <v>103</v>
      </c>
      <c r="H69" s="76">
        <v>40491</v>
      </c>
      <c r="I69" s="65" t="s">
        <v>278</v>
      </c>
      <c r="J69" s="76">
        <v>40596</v>
      </c>
      <c r="K69" s="65" t="s">
        <v>321</v>
      </c>
      <c r="L69" s="76">
        <v>40650</v>
      </c>
      <c r="M69" s="65" t="s">
        <v>348</v>
      </c>
      <c r="N69" s="76"/>
      <c r="O69" s="65"/>
      <c r="P69" s="76">
        <v>40980</v>
      </c>
      <c r="Q69" s="65" t="s">
        <v>724</v>
      </c>
      <c r="R69" s="65"/>
      <c r="S69" s="65"/>
      <c r="T69" s="65"/>
      <c r="U69" s="65"/>
      <c r="V69" s="65"/>
      <c r="W69" s="65"/>
      <c r="X69" s="76">
        <v>41667</v>
      </c>
      <c r="Y69" s="65" t="s">
        <v>876</v>
      </c>
      <c r="Z69" s="76">
        <v>42121</v>
      </c>
      <c r="AA69" s="65" t="s">
        <v>1375</v>
      </c>
      <c r="AB69" s="76">
        <v>42200</v>
      </c>
      <c r="AC69" s="566" t="s">
        <v>1398</v>
      </c>
      <c r="AD69" s="709">
        <v>42500</v>
      </c>
      <c r="AE69" s="65" t="s">
        <v>1470</v>
      </c>
    </row>
    <row r="70" spans="1:31" x14ac:dyDescent="0.25">
      <c r="A70" s="73"/>
      <c r="B70" s="94"/>
      <c r="C70" s="101" t="s">
        <v>193</v>
      </c>
      <c r="D70" s="65"/>
      <c r="E70" s="65"/>
      <c r="F70" s="97"/>
      <c r="G70" s="65" t="s">
        <v>103</v>
      </c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76">
        <v>41765</v>
      </c>
      <c r="W70" s="65" t="s">
        <v>1268</v>
      </c>
      <c r="X70" s="65"/>
      <c r="Y70" s="65"/>
      <c r="Z70" s="65"/>
      <c r="AA70" s="65"/>
      <c r="AB70" s="65"/>
      <c r="AC70" s="566"/>
      <c r="AD70" s="566"/>
      <c r="AE70" s="65"/>
    </row>
    <row r="71" spans="1:31" ht="30" x14ac:dyDescent="0.25">
      <c r="A71" s="73"/>
      <c r="B71" s="94"/>
      <c r="C71" s="98" t="s">
        <v>172</v>
      </c>
      <c r="D71" s="76">
        <v>40269</v>
      </c>
      <c r="E71" s="99">
        <f>D71+416</f>
        <v>40685</v>
      </c>
      <c r="F71" s="100" t="s">
        <v>225</v>
      </c>
      <c r="G71" s="65" t="s">
        <v>103</v>
      </c>
      <c r="H71" s="65"/>
      <c r="I71" s="65"/>
      <c r="J71" s="65"/>
      <c r="K71" s="97" t="s">
        <v>301</v>
      </c>
      <c r="L71" s="123">
        <v>40708</v>
      </c>
      <c r="M71" s="65" t="s">
        <v>356</v>
      </c>
      <c r="N71" s="76">
        <v>40757</v>
      </c>
      <c r="O71" s="65" t="s">
        <v>364</v>
      </c>
      <c r="P71" s="65" t="s">
        <v>979</v>
      </c>
      <c r="Q71" s="65" t="s">
        <v>980</v>
      </c>
      <c r="R71" s="76">
        <v>41023</v>
      </c>
      <c r="S71" s="65" t="s">
        <v>735</v>
      </c>
      <c r="T71" s="399" t="s">
        <v>947</v>
      </c>
      <c r="U71" s="65" t="s">
        <v>948</v>
      </c>
      <c r="V71" s="65"/>
      <c r="W71" s="65"/>
      <c r="X71" s="76">
        <v>42102</v>
      </c>
      <c r="Y71" s="65" t="s">
        <v>1376</v>
      </c>
      <c r="Z71" s="65"/>
      <c r="AA71" s="65"/>
      <c r="AB71" s="76">
        <v>42318</v>
      </c>
      <c r="AC71" s="566" t="s">
        <v>1422</v>
      </c>
      <c r="AD71" s="709">
        <v>42472</v>
      </c>
      <c r="AE71" s="65" t="s">
        <v>1466</v>
      </c>
    </row>
    <row r="72" spans="1:31" ht="45" x14ac:dyDescent="0.25">
      <c r="A72" s="73"/>
      <c r="B72" s="94"/>
      <c r="C72" s="401" t="s">
        <v>196</v>
      </c>
      <c r="D72" s="99">
        <v>40316</v>
      </c>
      <c r="E72" s="99">
        <f>D72+416</f>
        <v>40732</v>
      </c>
      <c r="F72" s="83" t="s">
        <v>357</v>
      </c>
      <c r="G72" s="65" t="s">
        <v>103</v>
      </c>
      <c r="H72" s="65"/>
      <c r="I72" s="65"/>
      <c r="J72" s="65"/>
      <c r="K72" s="97" t="s">
        <v>730</v>
      </c>
      <c r="L72" s="123">
        <v>40686</v>
      </c>
      <c r="M72" s="65" t="s">
        <v>350</v>
      </c>
      <c r="N72" s="65" t="s">
        <v>884</v>
      </c>
      <c r="O72" s="65"/>
      <c r="P72" s="65" t="s">
        <v>883</v>
      </c>
      <c r="Q72" s="65"/>
      <c r="R72" s="76">
        <v>41038</v>
      </c>
      <c r="S72" s="65" t="s">
        <v>729</v>
      </c>
      <c r="T72" s="399">
        <v>41309</v>
      </c>
      <c r="U72" s="65" t="s">
        <v>882</v>
      </c>
      <c r="V72" s="76">
        <v>41660</v>
      </c>
      <c r="W72" s="65" t="s">
        <v>876</v>
      </c>
      <c r="X72" s="76">
        <v>41989</v>
      </c>
      <c r="Y72" s="65" t="s">
        <v>1304</v>
      </c>
      <c r="Z72" s="76">
        <v>42170</v>
      </c>
      <c r="AA72" s="65" t="s">
        <v>1391</v>
      </c>
      <c r="AB72" s="76">
        <v>42199</v>
      </c>
      <c r="AC72" s="566" t="s">
        <v>1396</v>
      </c>
      <c r="AD72" s="566"/>
      <c r="AE72" s="65"/>
    </row>
    <row r="73" spans="1:31" ht="45" x14ac:dyDescent="0.25">
      <c r="A73" s="73"/>
      <c r="B73" s="94"/>
      <c r="C73" s="401" t="s">
        <v>197</v>
      </c>
      <c r="D73" s="5">
        <v>40316</v>
      </c>
      <c r="E73" s="106">
        <f>D73+416</f>
        <v>40732</v>
      </c>
      <c r="F73" s="83" t="s">
        <v>357</v>
      </c>
      <c r="G73" s="97" t="s">
        <v>103</v>
      </c>
      <c r="H73" s="65"/>
      <c r="I73" s="65"/>
      <c r="J73" s="65"/>
      <c r="K73" s="97" t="s">
        <v>271</v>
      </c>
      <c r="L73" s="123">
        <v>40680</v>
      </c>
      <c r="M73" s="65" t="s">
        <v>350</v>
      </c>
      <c r="N73" s="65" t="s">
        <v>884</v>
      </c>
      <c r="O73" s="65"/>
      <c r="P73" s="65" t="s">
        <v>883</v>
      </c>
      <c r="Q73" s="65"/>
      <c r="R73" s="76">
        <v>41038</v>
      </c>
      <c r="S73" s="65" t="s">
        <v>729</v>
      </c>
      <c r="T73" s="399">
        <v>41312</v>
      </c>
      <c r="U73" s="65" t="s">
        <v>882</v>
      </c>
      <c r="V73" s="76">
        <v>41656</v>
      </c>
      <c r="W73" s="65" t="s">
        <v>876</v>
      </c>
      <c r="X73" s="76">
        <v>41989</v>
      </c>
      <c r="Y73" s="65" t="s">
        <v>1304</v>
      </c>
      <c r="Z73" s="76">
        <v>42171</v>
      </c>
      <c r="AA73" s="65" t="s">
        <v>1391</v>
      </c>
      <c r="AB73" s="76">
        <v>42199</v>
      </c>
      <c r="AC73" s="566" t="s">
        <v>1396</v>
      </c>
      <c r="AD73" s="566"/>
      <c r="AE73" s="65"/>
    </row>
    <row r="74" spans="1:31" ht="45.75" thickBot="1" x14ac:dyDescent="0.3">
      <c r="A74" s="73"/>
      <c r="B74" s="94"/>
      <c r="C74" s="401" t="s">
        <v>198</v>
      </c>
      <c r="D74" s="5">
        <v>40316</v>
      </c>
      <c r="E74" s="106">
        <f>D74+416</f>
        <v>40732</v>
      </c>
      <c r="F74" s="83" t="s">
        <v>357</v>
      </c>
      <c r="G74" s="97" t="s">
        <v>103</v>
      </c>
      <c r="H74" s="65"/>
      <c r="I74" s="65"/>
      <c r="J74" s="65"/>
      <c r="K74" s="97" t="s">
        <v>271</v>
      </c>
      <c r="L74" s="123">
        <v>40680</v>
      </c>
      <c r="M74" s="65" t="s">
        <v>350</v>
      </c>
      <c r="N74" s="65" t="s">
        <v>884</v>
      </c>
      <c r="O74" s="65"/>
      <c r="P74" s="65" t="s">
        <v>883</v>
      </c>
      <c r="Q74" s="65"/>
      <c r="R74" s="76">
        <v>41038</v>
      </c>
      <c r="S74" s="65" t="s">
        <v>729</v>
      </c>
      <c r="T74" s="399">
        <v>41313</v>
      </c>
      <c r="U74" s="65" t="s">
        <v>882</v>
      </c>
      <c r="V74" s="76">
        <v>41655</v>
      </c>
      <c r="W74" s="65" t="s">
        <v>876</v>
      </c>
      <c r="X74" s="65"/>
      <c r="Y74" s="65"/>
      <c r="Z74" s="76">
        <v>42177</v>
      </c>
      <c r="AA74" s="65" t="s">
        <v>1391</v>
      </c>
      <c r="AB74" s="76">
        <v>42199</v>
      </c>
      <c r="AC74" s="566" t="s">
        <v>1396</v>
      </c>
      <c r="AD74" s="566"/>
      <c r="AE74" s="65"/>
    </row>
    <row r="75" spans="1:31" ht="45" x14ac:dyDescent="0.25">
      <c r="A75" s="73"/>
      <c r="B75" s="94"/>
      <c r="C75" s="401" t="s">
        <v>199</v>
      </c>
      <c r="D75" s="5">
        <v>40318</v>
      </c>
      <c r="E75" s="106">
        <f>D75+416</f>
        <v>40734</v>
      </c>
      <c r="F75" s="19" t="s">
        <v>195</v>
      </c>
      <c r="G75" s="97" t="s">
        <v>103</v>
      </c>
      <c r="H75" s="65"/>
      <c r="I75" s="65"/>
      <c r="J75" s="65"/>
      <c r="K75" s="97" t="s">
        <v>271</v>
      </c>
      <c r="L75" s="123">
        <v>40679</v>
      </c>
      <c r="M75" s="65" t="s">
        <v>350</v>
      </c>
      <c r="N75" s="65" t="s">
        <v>884</v>
      </c>
      <c r="O75" s="65"/>
      <c r="P75" s="65" t="s">
        <v>883</v>
      </c>
      <c r="Q75" s="65"/>
      <c r="R75" s="76">
        <v>41044</v>
      </c>
      <c r="S75" s="65" t="s">
        <v>729</v>
      </c>
      <c r="T75" s="399">
        <v>41316</v>
      </c>
      <c r="U75" s="65" t="s">
        <v>882</v>
      </c>
      <c r="V75" s="65" t="s">
        <v>1246</v>
      </c>
      <c r="W75" s="65" t="s">
        <v>876</v>
      </c>
      <c r="X75" s="65"/>
      <c r="Y75" s="65"/>
      <c r="Z75" s="76">
        <v>42170</v>
      </c>
      <c r="AA75" s="65" t="s">
        <v>1392</v>
      </c>
      <c r="AB75" s="76">
        <v>42199</v>
      </c>
      <c r="AC75" s="566" t="s">
        <v>1396</v>
      </c>
      <c r="AD75" s="566"/>
      <c r="AE75" s="65"/>
    </row>
    <row r="76" spans="1:31" x14ac:dyDescent="0.25">
      <c r="A76" s="73"/>
      <c r="B76" s="94"/>
      <c r="C76" s="401" t="s">
        <v>209</v>
      </c>
      <c r="D76" s="5">
        <v>40340</v>
      </c>
      <c r="E76" s="106">
        <f xml:space="preserve"> D76+416</f>
        <v>40756</v>
      </c>
      <c r="F76" s="4" t="s">
        <v>213</v>
      </c>
      <c r="G76" s="97" t="s">
        <v>103</v>
      </c>
      <c r="H76" s="65"/>
      <c r="I76" s="65"/>
      <c r="J76" s="65"/>
      <c r="K76" s="97"/>
      <c r="L76" s="97"/>
      <c r="M76" s="65"/>
      <c r="N76" s="65"/>
      <c r="O76" s="65"/>
      <c r="P76" s="65"/>
      <c r="Q76" s="65"/>
      <c r="R76" s="76">
        <v>41324</v>
      </c>
      <c r="S76" s="65" t="s">
        <v>885</v>
      </c>
      <c r="T76" s="399">
        <v>41359</v>
      </c>
      <c r="U76" s="65" t="s">
        <v>905</v>
      </c>
      <c r="V76" s="76">
        <v>42037</v>
      </c>
      <c r="W76" s="65" t="s">
        <v>1168</v>
      </c>
      <c r="X76" s="76">
        <v>42170</v>
      </c>
      <c r="Y76" s="65" t="s">
        <v>1393</v>
      </c>
      <c r="Z76" s="65"/>
      <c r="AA76" s="65"/>
      <c r="AB76" s="76">
        <v>42374</v>
      </c>
      <c r="AC76" s="566" t="s">
        <v>1438</v>
      </c>
      <c r="AD76" s="709">
        <v>42381</v>
      </c>
      <c r="AE76" s="65" t="s">
        <v>1439</v>
      </c>
    </row>
    <row r="77" spans="1:31" ht="15.75" thickBot="1" x14ac:dyDescent="0.3">
      <c r="A77" s="73"/>
      <c r="B77" s="104"/>
      <c r="C77" s="401" t="s">
        <v>209</v>
      </c>
      <c r="D77" s="5">
        <v>40352</v>
      </c>
      <c r="E77" s="106">
        <f xml:space="preserve"> D77+416</f>
        <v>40768</v>
      </c>
      <c r="F77" s="8" t="s">
        <v>224</v>
      </c>
      <c r="G77" s="97" t="s">
        <v>103</v>
      </c>
      <c r="H77" s="65"/>
      <c r="I77" s="65"/>
      <c r="J77" s="65"/>
      <c r="K77" s="97"/>
      <c r="L77" s="97"/>
      <c r="M77" s="65"/>
      <c r="N77" s="65"/>
      <c r="O77" s="65"/>
      <c r="P77" s="65"/>
      <c r="Q77" s="65"/>
      <c r="R77" s="65"/>
      <c r="S77" s="65"/>
      <c r="T77" s="399">
        <v>41387</v>
      </c>
      <c r="U77" s="65" t="s">
        <v>909</v>
      </c>
      <c r="V77" s="65"/>
      <c r="W77" s="65"/>
      <c r="X77" s="65"/>
      <c r="Y77" s="65"/>
      <c r="Z77" s="65"/>
      <c r="AA77" s="65"/>
      <c r="AB77" s="65"/>
      <c r="AC77" s="566"/>
      <c r="AD77" s="566"/>
      <c r="AE77" s="65"/>
    </row>
    <row r="78" spans="1:31" ht="30" x14ac:dyDescent="0.25">
      <c r="A78" s="73"/>
      <c r="B78" s="104"/>
      <c r="C78" s="75" t="s">
        <v>289</v>
      </c>
      <c r="D78" s="76">
        <v>40511</v>
      </c>
      <c r="E78" s="75"/>
      <c r="F78" s="101" t="s">
        <v>290</v>
      </c>
      <c r="G78" s="65" t="s">
        <v>103</v>
      </c>
      <c r="H78" s="76">
        <v>40650</v>
      </c>
      <c r="I78" s="65" t="s">
        <v>347</v>
      </c>
      <c r="J78" s="65"/>
      <c r="K78" s="97"/>
      <c r="L78" s="123">
        <v>40946</v>
      </c>
      <c r="M78" s="65" t="s">
        <v>714</v>
      </c>
      <c r="N78" s="65"/>
      <c r="O78" s="65"/>
      <c r="P78" s="76">
        <v>41001</v>
      </c>
      <c r="Q78" s="65" t="s">
        <v>741</v>
      </c>
      <c r="R78" s="76">
        <v>41052</v>
      </c>
      <c r="S78" s="65" t="s">
        <v>751</v>
      </c>
      <c r="T78" s="76">
        <v>41067</v>
      </c>
      <c r="U78" s="65" t="s">
        <v>753</v>
      </c>
      <c r="V78" s="399">
        <v>41428</v>
      </c>
      <c r="W78" s="65" t="s">
        <v>919</v>
      </c>
      <c r="X78" s="65"/>
      <c r="Y78" s="65"/>
      <c r="Z78" s="76">
        <v>42200</v>
      </c>
      <c r="AA78" s="65" t="s">
        <v>1397</v>
      </c>
      <c r="AB78" s="65"/>
      <c r="AC78" s="566"/>
      <c r="AD78" s="566"/>
      <c r="AE78" s="65"/>
    </row>
    <row r="79" spans="1:31" ht="29.25" customHeight="1" x14ac:dyDescent="0.25">
      <c r="A79" s="73"/>
      <c r="B79" s="104"/>
      <c r="C79" s="75" t="s">
        <v>346</v>
      </c>
      <c r="D79" s="76">
        <v>40651</v>
      </c>
      <c r="E79" s="75"/>
      <c r="F79" s="75"/>
      <c r="G79" s="65" t="s">
        <v>103</v>
      </c>
      <c r="H79" s="76">
        <v>41014</v>
      </c>
      <c r="I79" s="65" t="s">
        <v>738</v>
      </c>
      <c r="J79" s="76">
        <v>41533</v>
      </c>
      <c r="K79" s="97" t="s">
        <v>928</v>
      </c>
      <c r="L79" s="123">
        <v>40692</v>
      </c>
      <c r="M79" s="65" t="s">
        <v>355</v>
      </c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566"/>
      <c r="AD79" s="566"/>
      <c r="AE79" s="65"/>
    </row>
    <row r="80" spans="1:31" ht="30" x14ac:dyDescent="0.25">
      <c r="A80" s="73"/>
      <c r="B80" s="104"/>
      <c r="C80" s="75" t="s">
        <v>918</v>
      </c>
      <c r="D80" s="65"/>
      <c r="E80" s="75"/>
      <c r="F80" s="75"/>
      <c r="G80" s="84"/>
      <c r="H80" s="65"/>
      <c r="I80" s="65"/>
      <c r="J80" s="65"/>
      <c r="K80" s="97"/>
      <c r="L80" s="84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76">
        <v>42031</v>
      </c>
      <c r="Y80" s="65" t="s">
        <v>1169</v>
      </c>
      <c r="Z80" s="65"/>
      <c r="AA80" s="65"/>
      <c r="AB80" s="65"/>
      <c r="AC80" s="566"/>
      <c r="AD80" s="709">
        <v>42444</v>
      </c>
      <c r="AE80" s="65" t="s">
        <v>1459</v>
      </c>
    </row>
    <row r="81" spans="1:31" x14ac:dyDescent="0.25">
      <c r="A81" s="73"/>
      <c r="B81" s="111"/>
      <c r="C81" s="75" t="s">
        <v>362</v>
      </c>
      <c r="D81" s="76">
        <v>40757</v>
      </c>
      <c r="E81" s="75"/>
      <c r="F81" s="75" t="s">
        <v>363</v>
      </c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566"/>
      <c r="AD81" s="566"/>
      <c r="AE81" s="65"/>
    </row>
    <row r="82" spans="1:31" x14ac:dyDescent="0.25">
      <c r="A82" s="73"/>
      <c r="B82" s="317"/>
      <c r="C82" s="75" t="s">
        <v>725</v>
      </c>
      <c r="D82" s="76">
        <v>40995</v>
      </c>
      <c r="E82" s="75"/>
      <c r="F82" s="75" t="s">
        <v>726</v>
      </c>
      <c r="G82" s="76">
        <v>40996</v>
      </c>
      <c r="H82" s="65"/>
      <c r="I82" s="65" t="s">
        <v>727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566"/>
      <c r="AD82" s="566"/>
      <c r="AE82" s="65"/>
    </row>
    <row r="83" spans="1:31" x14ac:dyDescent="0.25">
      <c r="A83" s="73"/>
      <c r="B83" s="317"/>
      <c r="C83" s="75" t="s">
        <v>739</v>
      </c>
      <c r="D83" s="76"/>
      <c r="E83" s="75"/>
      <c r="F83" s="75"/>
      <c r="G83" s="65"/>
      <c r="H83" s="65"/>
      <c r="I83" s="65"/>
      <c r="J83" s="65"/>
      <c r="K83" s="65"/>
      <c r="L83" s="65"/>
      <c r="M83" s="65"/>
      <c r="N83" s="65"/>
      <c r="O83" s="76">
        <v>41002</v>
      </c>
      <c r="P83" s="65" t="s">
        <v>740</v>
      </c>
      <c r="Q83" s="65"/>
      <c r="R83" s="76"/>
      <c r="S83" s="65"/>
      <c r="T83" s="76">
        <v>41680</v>
      </c>
      <c r="U83" s="65" t="s">
        <v>1256</v>
      </c>
      <c r="V83" s="65"/>
      <c r="W83" s="65"/>
      <c r="X83" s="65"/>
      <c r="Y83" s="65"/>
      <c r="Z83" s="65"/>
      <c r="AA83" s="65"/>
      <c r="AB83" s="65"/>
      <c r="AC83" s="566"/>
      <c r="AD83" s="566"/>
      <c r="AE83" s="65"/>
    </row>
    <row r="84" spans="1:31" ht="23.25" customHeight="1" x14ac:dyDescent="0.25">
      <c r="A84" s="73"/>
      <c r="B84" s="322"/>
      <c r="C84" s="75" t="s">
        <v>747</v>
      </c>
      <c r="D84" s="76">
        <v>41046</v>
      </c>
      <c r="E84" s="75"/>
      <c r="F84" s="75" t="s">
        <v>748</v>
      </c>
      <c r="G84" s="65"/>
      <c r="H84" s="65"/>
      <c r="I84" s="65"/>
      <c r="J84" s="65"/>
      <c r="K84" s="65"/>
      <c r="L84" s="65"/>
      <c r="M84" s="65"/>
      <c r="N84" s="65"/>
      <c r="O84" s="76"/>
      <c r="P84" s="65"/>
      <c r="Q84" s="65"/>
      <c r="R84" s="65"/>
      <c r="S84" s="65"/>
      <c r="T84" s="65"/>
      <c r="U84" s="65"/>
      <c r="V84" s="76">
        <v>41781</v>
      </c>
      <c r="W84" s="65" t="s">
        <v>1267</v>
      </c>
      <c r="X84" s="76">
        <v>41865</v>
      </c>
      <c r="Y84" s="65" t="s">
        <v>1286</v>
      </c>
      <c r="Z84" s="76">
        <v>42011</v>
      </c>
      <c r="AA84" s="65" t="s">
        <v>1368</v>
      </c>
      <c r="AB84" s="65"/>
      <c r="AC84" s="566"/>
      <c r="AD84" s="566"/>
      <c r="AE84" s="65"/>
    </row>
    <row r="85" spans="1:31" ht="30" x14ac:dyDescent="0.25">
      <c r="A85" s="73"/>
      <c r="B85" s="326"/>
      <c r="C85" s="75" t="s">
        <v>975</v>
      </c>
      <c r="D85" s="76">
        <v>41091</v>
      </c>
      <c r="E85" s="75"/>
      <c r="F85" s="75"/>
      <c r="G85" s="65"/>
      <c r="H85" s="65"/>
      <c r="I85" s="65"/>
      <c r="J85" s="65"/>
      <c r="K85" s="65"/>
      <c r="L85" s="65"/>
      <c r="M85" s="65"/>
      <c r="N85" s="65"/>
      <c r="O85" s="76"/>
      <c r="P85" s="65"/>
      <c r="Q85" s="65"/>
      <c r="R85" s="65"/>
      <c r="S85" s="65"/>
      <c r="T85" s="65"/>
      <c r="U85" s="65"/>
      <c r="V85" s="76">
        <v>41702</v>
      </c>
      <c r="W85" s="65" t="s">
        <v>876</v>
      </c>
      <c r="X85" s="65"/>
      <c r="Y85" s="65"/>
      <c r="Z85" s="76">
        <v>42079</v>
      </c>
      <c r="AA85" s="65" t="s">
        <v>933</v>
      </c>
      <c r="AB85" s="65"/>
      <c r="AC85" s="566"/>
      <c r="AD85" s="709">
        <v>42451</v>
      </c>
      <c r="AE85" s="65" t="s">
        <v>1461</v>
      </c>
    </row>
    <row r="86" spans="1:31" ht="30" x14ac:dyDescent="0.25">
      <c r="A86" s="73"/>
      <c r="B86" s="326"/>
      <c r="C86" s="75" t="s">
        <v>976</v>
      </c>
      <c r="D86" s="76">
        <v>41091</v>
      </c>
      <c r="E86" s="75"/>
      <c r="F86" s="75"/>
      <c r="G86" s="65"/>
      <c r="H86" s="65"/>
      <c r="I86" s="65"/>
      <c r="J86" s="65"/>
      <c r="K86" s="65"/>
      <c r="L86" s="65"/>
      <c r="M86" s="65"/>
      <c r="N86" s="65"/>
      <c r="O86" s="76"/>
      <c r="P86" s="65"/>
      <c r="Q86" s="65"/>
      <c r="R86" s="65"/>
      <c r="S86" s="65"/>
      <c r="T86" s="65"/>
      <c r="U86" s="65"/>
      <c r="V86" s="76">
        <v>41702</v>
      </c>
      <c r="W86" s="65" t="s">
        <v>876</v>
      </c>
      <c r="X86" s="65"/>
      <c r="Y86" s="65"/>
      <c r="Z86" s="76">
        <v>42086</v>
      </c>
      <c r="AA86" s="65" t="s">
        <v>933</v>
      </c>
      <c r="AB86" s="65"/>
      <c r="AC86" s="566"/>
      <c r="AD86" s="709">
        <v>42437</v>
      </c>
      <c r="AE86" s="65" t="s">
        <v>1457</v>
      </c>
    </row>
    <row r="87" spans="1:31" ht="30" x14ac:dyDescent="0.25">
      <c r="A87" s="73"/>
      <c r="B87" s="326"/>
      <c r="C87" s="75" t="s">
        <v>977</v>
      </c>
      <c r="D87" s="76">
        <v>41091</v>
      </c>
      <c r="E87" s="75"/>
      <c r="F87" s="75"/>
      <c r="G87" s="65"/>
      <c r="H87" s="65"/>
      <c r="I87" s="65"/>
      <c r="J87" s="65"/>
      <c r="K87" s="65"/>
      <c r="L87" s="65"/>
      <c r="M87" s="65"/>
      <c r="N87" s="65"/>
      <c r="O87" s="76"/>
      <c r="P87" s="65"/>
      <c r="Q87" s="65"/>
      <c r="R87" s="65"/>
      <c r="S87" s="65"/>
      <c r="T87" s="65"/>
      <c r="U87" s="65"/>
      <c r="V87" s="76">
        <v>41703</v>
      </c>
      <c r="W87" s="65" t="s">
        <v>876</v>
      </c>
      <c r="X87" s="76">
        <v>41809</v>
      </c>
      <c r="Y87" s="65" t="s">
        <v>1269</v>
      </c>
      <c r="Z87" s="76">
        <v>42086</v>
      </c>
      <c r="AA87" s="65" t="s">
        <v>933</v>
      </c>
      <c r="AB87" s="65"/>
      <c r="AC87" s="566"/>
      <c r="AD87" s="709">
        <v>42437</v>
      </c>
      <c r="AE87" s="65" t="s">
        <v>1457</v>
      </c>
    </row>
    <row r="88" spans="1:31" ht="30" x14ac:dyDescent="0.25">
      <c r="A88" s="73"/>
      <c r="B88" s="326"/>
      <c r="C88" s="75" t="s">
        <v>978</v>
      </c>
      <c r="D88" s="76">
        <v>41091</v>
      </c>
      <c r="E88" s="75"/>
      <c r="F88" s="75"/>
      <c r="G88" s="65"/>
      <c r="H88" s="76">
        <v>41302</v>
      </c>
      <c r="I88" s="65" t="s">
        <v>974</v>
      </c>
      <c r="J88" s="65"/>
      <c r="K88" s="65"/>
      <c r="L88" s="65"/>
      <c r="M88" s="65"/>
      <c r="N88" s="65"/>
      <c r="O88" s="76"/>
      <c r="P88" s="65"/>
      <c r="Q88" s="65"/>
      <c r="R88" s="65"/>
      <c r="S88" s="65"/>
      <c r="T88" s="65"/>
      <c r="U88" s="65"/>
      <c r="V88" s="76">
        <v>41703</v>
      </c>
      <c r="W88" s="65" t="s">
        <v>876</v>
      </c>
      <c r="X88" s="76">
        <v>41891</v>
      </c>
      <c r="Y88" s="65" t="s">
        <v>1290</v>
      </c>
      <c r="Z88" s="76">
        <v>42087</v>
      </c>
      <c r="AA88" s="65" t="s">
        <v>933</v>
      </c>
      <c r="AB88" s="65"/>
      <c r="AC88" s="566"/>
      <c r="AD88" s="709">
        <v>42451</v>
      </c>
      <c r="AE88" s="65" t="s">
        <v>1461</v>
      </c>
    </row>
    <row r="89" spans="1:31" x14ac:dyDescent="0.25">
      <c r="A89" s="73"/>
      <c r="B89" s="326"/>
      <c r="C89" s="75"/>
      <c r="D89" s="76"/>
      <c r="E89" s="75"/>
      <c r="F89" s="75"/>
      <c r="G89" s="65"/>
      <c r="H89" s="65"/>
      <c r="I89" s="65"/>
      <c r="J89" s="65"/>
      <c r="K89" s="65"/>
      <c r="L89" s="65"/>
      <c r="M89" s="65"/>
      <c r="N89" s="65"/>
      <c r="O89" s="76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566"/>
      <c r="AD89" s="566"/>
      <c r="AE89" s="65"/>
    </row>
    <row r="90" spans="1:31" x14ac:dyDescent="0.25">
      <c r="A90" s="73"/>
      <c r="B90" s="326"/>
      <c r="C90" s="75" t="s">
        <v>984</v>
      </c>
      <c r="D90" s="76">
        <v>42188</v>
      </c>
      <c r="E90" s="75"/>
      <c r="F90" s="75" t="s">
        <v>985</v>
      </c>
      <c r="G90" s="65"/>
      <c r="H90" s="65"/>
      <c r="I90" s="65"/>
      <c r="J90" s="65"/>
      <c r="K90" s="65"/>
      <c r="L90" s="65"/>
      <c r="M90" s="65"/>
      <c r="N90" s="65"/>
      <c r="O90" s="76"/>
      <c r="P90" s="65"/>
      <c r="Q90" s="65"/>
      <c r="R90" s="76">
        <v>41681</v>
      </c>
      <c r="S90" s="65" t="s">
        <v>1255</v>
      </c>
      <c r="T90" s="65"/>
      <c r="U90" s="65"/>
      <c r="V90" s="65"/>
      <c r="W90" s="65"/>
      <c r="X90" s="76"/>
      <c r="Y90" s="65"/>
      <c r="Z90" s="76">
        <v>42171</v>
      </c>
      <c r="AA90" s="65" t="s">
        <v>1394</v>
      </c>
      <c r="AB90" s="65"/>
      <c r="AC90" s="566"/>
      <c r="AD90" s="566"/>
      <c r="AE90" s="65"/>
    </row>
    <row r="91" spans="1:31" ht="30" x14ac:dyDescent="0.25">
      <c r="A91" s="584"/>
      <c r="B91" s="585"/>
      <c r="C91" s="586" t="s">
        <v>1233</v>
      </c>
      <c r="D91" s="541"/>
      <c r="E91" s="558"/>
      <c r="F91" s="584"/>
      <c r="G91" s="541"/>
      <c r="H91" s="581"/>
      <c r="I91" s="541"/>
      <c r="J91" s="581"/>
      <c r="K91" s="541"/>
      <c r="L91" s="581"/>
      <c r="M91" s="541"/>
      <c r="N91" s="581"/>
      <c r="O91" s="541"/>
      <c r="P91" s="581"/>
      <c r="Q91" s="541"/>
      <c r="R91" s="581"/>
      <c r="S91" s="541"/>
      <c r="T91" s="587">
        <v>41656</v>
      </c>
      <c r="U91" s="541" t="s">
        <v>1245</v>
      </c>
      <c r="V91" s="587">
        <v>41668</v>
      </c>
      <c r="W91" s="541" t="s">
        <v>1234</v>
      </c>
      <c r="X91" s="587">
        <v>41660</v>
      </c>
      <c r="Y91" s="541" t="s">
        <v>1243</v>
      </c>
      <c r="Z91" s="581"/>
      <c r="AA91" s="541"/>
      <c r="AB91" s="65"/>
      <c r="AC91" s="566"/>
      <c r="AD91" s="566"/>
      <c r="AE91" s="65"/>
    </row>
    <row r="92" spans="1:31" ht="30" x14ac:dyDescent="0.25">
      <c r="A92" s="584"/>
      <c r="B92" s="585"/>
      <c r="C92" s="586" t="s">
        <v>1235</v>
      </c>
      <c r="D92" s="541"/>
      <c r="E92" s="558"/>
      <c r="F92" s="584"/>
      <c r="G92" s="541"/>
      <c r="H92" s="581"/>
      <c r="I92" s="541"/>
      <c r="J92" s="581"/>
      <c r="K92" s="541"/>
      <c r="L92" s="581"/>
      <c r="M92" s="541"/>
      <c r="N92" s="581"/>
      <c r="O92" s="541"/>
      <c r="P92" s="581"/>
      <c r="Q92" s="541"/>
      <c r="R92" s="587"/>
      <c r="S92" s="541"/>
      <c r="T92" s="581"/>
      <c r="U92" s="541"/>
      <c r="V92" s="587">
        <v>41668</v>
      </c>
      <c r="W92" s="541" t="s">
        <v>1239</v>
      </c>
      <c r="X92" s="587">
        <v>41711</v>
      </c>
      <c r="Y92" s="541" t="s">
        <v>258</v>
      </c>
      <c r="Z92" s="587">
        <v>42079</v>
      </c>
      <c r="AA92" s="541" t="s">
        <v>876</v>
      </c>
      <c r="AB92" s="65"/>
      <c r="AC92" s="566"/>
      <c r="AD92" s="709">
        <v>42409</v>
      </c>
      <c r="AE92" s="65" t="s">
        <v>854</v>
      </c>
    </row>
    <row r="93" spans="1:31" ht="30" x14ac:dyDescent="0.25">
      <c r="A93" s="584"/>
      <c r="B93" s="585"/>
      <c r="C93" s="586" t="s">
        <v>1236</v>
      </c>
      <c r="D93" s="541"/>
      <c r="E93" s="558"/>
      <c r="F93" s="584"/>
      <c r="G93" s="541"/>
      <c r="H93" s="581"/>
      <c r="I93" s="541"/>
      <c r="J93" s="581"/>
      <c r="K93" s="541"/>
      <c r="L93" s="581"/>
      <c r="M93" s="541"/>
      <c r="N93" s="581"/>
      <c r="O93" s="541"/>
      <c r="P93" s="581"/>
      <c r="Q93" s="541"/>
      <c r="R93" s="581"/>
      <c r="S93" s="541"/>
      <c r="T93" s="581"/>
      <c r="U93" s="541"/>
      <c r="V93" s="587">
        <v>41668</v>
      </c>
      <c r="W93" s="541" t="s">
        <v>1239</v>
      </c>
      <c r="X93" s="587">
        <v>41711</v>
      </c>
      <c r="Y93" s="541" t="s">
        <v>258</v>
      </c>
      <c r="Z93" s="587">
        <v>42066</v>
      </c>
      <c r="AA93" s="541" t="s">
        <v>876</v>
      </c>
      <c r="AB93" s="65"/>
      <c r="AC93" s="566"/>
      <c r="AD93" s="566"/>
      <c r="AE93" s="65"/>
    </row>
    <row r="94" spans="1:31" ht="30" x14ac:dyDescent="0.25">
      <c r="A94" s="584"/>
      <c r="B94" s="585"/>
      <c r="C94" s="586" t="s">
        <v>1237</v>
      </c>
      <c r="D94" s="541"/>
      <c r="E94" s="558"/>
      <c r="F94" s="584"/>
      <c r="G94" s="541"/>
      <c r="H94" s="581"/>
      <c r="I94" s="541"/>
      <c r="J94" s="581"/>
      <c r="K94" s="541"/>
      <c r="L94" s="581"/>
      <c r="M94" s="541"/>
      <c r="N94" s="581"/>
      <c r="O94" s="541"/>
      <c r="P94" s="581"/>
      <c r="Q94" s="541"/>
      <c r="R94" s="581"/>
      <c r="S94" s="541"/>
      <c r="T94" s="581"/>
      <c r="U94" s="541"/>
      <c r="V94" s="581"/>
      <c r="W94" s="541"/>
      <c r="X94" s="581"/>
      <c r="Y94" s="541"/>
      <c r="Z94" s="587">
        <v>42066</v>
      </c>
      <c r="AA94" s="541" t="s">
        <v>876</v>
      </c>
      <c r="AB94" s="76">
        <v>42254</v>
      </c>
      <c r="AC94" s="566" t="s">
        <v>1412</v>
      </c>
      <c r="AD94" s="566"/>
      <c r="AE94" s="65"/>
    </row>
    <row r="95" spans="1:31" ht="30" x14ac:dyDescent="0.25">
      <c r="A95" s="584"/>
      <c r="B95" s="585"/>
      <c r="C95" s="586" t="s">
        <v>1238</v>
      </c>
      <c r="D95" s="541"/>
      <c r="E95" s="558"/>
      <c r="F95" s="584"/>
      <c r="G95" s="541"/>
      <c r="H95" s="581"/>
      <c r="I95" s="541"/>
      <c r="J95" s="581"/>
      <c r="K95" s="541"/>
      <c r="L95" s="581"/>
      <c r="M95" s="541"/>
      <c r="N95" s="581"/>
      <c r="O95" s="541"/>
      <c r="P95" s="581"/>
      <c r="Q95" s="541"/>
      <c r="R95" s="587">
        <v>42507</v>
      </c>
      <c r="S95" s="541" t="s">
        <v>1473</v>
      </c>
      <c r="T95" s="581"/>
      <c r="U95" s="541"/>
      <c r="V95" s="587">
        <v>41668</v>
      </c>
      <c r="W95" s="541" t="s">
        <v>1239</v>
      </c>
      <c r="X95" s="581"/>
      <c r="Y95" s="541"/>
      <c r="Z95" s="587">
        <v>42080</v>
      </c>
      <c r="AA95" s="541" t="s">
        <v>876</v>
      </c>
      <c r="AB95" s="65"/>
      <c r="AC95" s="566"/>
      <c r="AD95" s="566"/>
      <c r="AE95" s="65"/>
    </row>
    <row r="96" spans="1:31" ht="30" x14ac:dyDescent="0.25">
      <c r="A96" s="584"/>
      <c r="B96" s="585"/>
      <c r="C96" s="586" t="s">
        <v>1242</v>
      </c>
      <c r="D96" s="541"/>
      <c r="E96" s="558"/>
      <c r="F96" s="584"/>
      <c r="G96" s="541"/>
      <c r="H96" s="581"/>
      <c r="I96" s="541"/>
      <c r="J96" s="581"/>
      <c r="K96" s="541"/>
      <c r="L96" s="581"/>
      <c r="M96" s="541"/>
      <c r="N96" s="581"/>
      <c r="O96" s="541"/>
      <c r="P96" s="581"/>
      <c r="Q96" s="541"/>
      <c r="R96" s="581"/>
      <c r="S96" s="541"/>
      <c r="T96" s="581"/>
      <c r="U96" s="541"/>
      <c r="V96" s="587">
        <v>41666</v>
      </c>
      <c r="W96" s="541" t="s">
        <v>876</v>
      </c>
      <c r="X96" s="587">
        <v>42073</v>
      </c>
      <c r="Y96" s="541" t="s">
        <v>1307</v>
      </c>
      <c r="Z96" s="587">
        <v>42086</v>
      </c>
      <c r="AA96" s="541" t="s">
        <v>1306</v>
      </c>
      <c r="AB96" s="65"/>
      <c r="AC96" s="566"/>
      <c r="AD96" s="566"/>
      <c r="AE96" s="65"/>
    </row>
    <row r="97" spans="1:31" x14ac:dyDescent="0.25">
      <c r="A97" s="584"/>
      <c r="B97" s="585"/>
      <c r="C97" s="586" t="s">
        <v>1263</v>
      </c>
      <c r="D97" s="541"/>
      <c r="E97" s="558"/>
      <c r="F97" s="584"/>
      <c r="G97" s="541"/>
      <c r="H97" s="581"/>
      <c r="I97" s="541"/>
      <c r="J97" s="581"/>
      <c r="K97" s="541"/>
      <c r="L97" s="581"/>
      <c r="M97" s="541"/>
      <c r="N97" s="581"/>
      <c r="O97" s="541"/>
      <c r="P97" s="581"/>
      <c r="Q97" s="541"/>
      <c r="R97" s="581"/>
      <c r="S97" s="541"/>
      <c r="T97" s="581"/>
      <c r="U97" s="541"/>
      <c r="V97" s="587">
        <v>41720</v>
      </c>
      <c r="W97" s="541" t="s">
        <v>1264</v>
      </c>
      <c r="X97" s="581"/>
      <c r="Y97" s="541"/>
      <c r="Z97" s="581"/>
      <c r="AA97" s="541"/>
      <c r="AB97" s="65"/>
      <c r="AC97" s="566"/>
      <c r="AD97" s="566"/>
      <c r="AE97" s="65"/>
    </row>
    <row r="98" spans="1:31" x14ac:dyDescent="0.25">
      <c r="A98" s="584"/>
      <c r="B98" s="585"/>
      <c r="C98" s="586" t="s">
        <v>1270</v>
      </c>
      <c r="D98" s="541"/>
      <c r="E98" s="558"/>
      <c r="F98" s="584"/>
      <c r="G98" s="541"/>
      <c r="H98" s="581"/>
      <c r="I98" s="541"/>
      <c r="J98" s="581"/>
      <c r="K98" s="541"/>
      <c r="L98" s="581"/>
      <c r="M98" s="541"/>
      <c r="N98" s="581"/>
      <c r="O98" s="541"/>
      <c r="P98" s="581"/>
      <c r="Q98" s="541"/>
      <c r="R98" s="581"/>
      <c r="S98" s="541"/>
      <c r="T98" s="581"/>
      <c r="U98" s="541"/>
      <c r="V98" s="587">
        <v>41809</v>
      </c>
      <c r="W98" s="541" t="s">
        <v>1271</v>
      </c>
      <c r="X98" s="581"/>
      <c r="Y98" s="541"/>
      <c r="Z98" s="581"/>
      <c r="AA98" s="541"/>
      <c r="AB98" s="65"/>
      <c r="AC98" s="566"/>
      <c r="AD98" s="566"/>
      <c r="AE98" s="65"/>
    </row>
  </sheetData>
  <autoFilter ref="A1:J68"/>
  <mergeCells count="29">
    <mergeCell ref="AD1:AD3"/>
    <mergeCell ref="AE1:AE3"/>
    <mergeCell ref="B4:B50"/>
    <mergeCell ref="G1:G3"/>
    <mergeCell ref="U1:U3"/>
    <mergeCell ref="W1:W3"/>
    <mergeCell ref="H1:H3"/>
    <mergeCell ref="I1:I3"/>
    <mergeCell ref="J1:J3"/>
    <mergeCell ref="K1:K3"/>
    <mergeCell ref="M1:M3"/>
    <mergeCell ref="N1:N3"/>
    <mergeCell ref="F1:F3"/>
    <mergeCell ref="O1:O3"/>
    <mergeCell ref="Q1:Q3"/>
    <mergeCell ref="S1:S3"/>
    <mergeCell ref="A1:A3"/>
    <mergeCell ref="B1:B3"/>
    <mergeCell ref="C1:C3"/>
    <mergeCell ref="D1:D3"/>
    <mergeCell ref="E1:E3"/>
    <mergeCell ref="AB1:AB3"/>
    <mergeCell ref="AC1:AC3"/>
    <mergeCell ref="P1:P3"/>
    <mergeCell ref="L1:L3"/>
    <mergeCell ref="Z1:Z3"/>
    <mergeCell ref="X1:X3"/>
    <mergeCell ref="AA1:AA3"/>
    <mergeCell ref="Y1:Y3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T210"/>
  <sheetViews>
    <sheetView showGridLines="0" zoomScale="80" zoomScaleNormal="80" zoomScaleSheetLayoutView="50" workbookViewId="0">
      <pane xSplit="4" ySplit="2" topLeftCell="CD179" activePane="bottomRight" state="frozen"/>
      <selection pane="topRight" activeCell="C1" sqref="C1"/>
      <selection pane="bottomLeft" activeCell="A2" sqref="A2"/>
      <selection pane="bottomRight" activeCell="D185" sqref="D185"/>
    </sheetView>
  </sheetViews>
  <sheetFormatPr baseColWidth="10" defaultRowHeight="15" x14ac:dyDescent="0.25"/>
  <cols>
    <col min="1" max="2" width="6.42578125" customWidth="1"/>
    <col min="3" max="3" width="8.7109375" customWidth="1"/>
    <col min="4" max="4" width="38.7109375" customWidth="1"/>
    <col min="5" max="6" width="8.28515625" customWidth="1"/>
    <col min="7" max="7" width="8.7109375" customWidth="1"/>
    <col min="8" max="9" width="8.28515625" customWidth="1"/>
    <col min="10" max="10" width="10" customWidth="1"/>
    <col min="11" max="12" width="8.28515625" customWidth="1"/>
    <col min="13" max="13" width="10.140625" customWidth="1"/>
    <col min="14" max="56" width="8.28515625" customWidth="1"/>
    <col min="57" max="57" width="9" customWidth="1"/>
    <col min="58" max="67" width="8.28515625" customWidth="1"/>
    <col min="68" max="68" width="8.42578125" customWidth="1"/>
    <col min="69" max="73" width="8.28515625" customWidth="1"/>
    <col min="74" max="74" width="8.85546875" customWidth="1"/>
    <col min="75" max="86" width="8.28515625" customWidth="1"/>
    <col min="87" max="87" width="8.42578125" customWidth="1"/>
    <col min="88" max="88" width="7.5703125" customWidth="1"/>
    <col min="89" max="89" width="8.28515625" customWidth="1"/>
    <col min="90" max="90" width="7.85546875" customWidth="1"/>
    <col min="91" max="91" width="8.7109375" customWidth="1"/>
    <col min="92" max="92" width="8.28515625" customWidth="1"/>
    <col min="93" max="93" width="7.28515625" customWidth="1"/>
    <col min="94" max="94" width="8.42578125" customWidth="1"/>
    <col min="95" max="95" width="7.42578125" customWidth="1"/>
    <col min="96" max="96" width="7.7109375" customWidth="1"/>
    <col min="97" max="97" width="7.5703125" customWidth="1"/>
    <col min="98" max="98" width="7.28515625" customWidth="1"/>
  </cols>
  <sheetData>
    <row r="1" spans="1:98" ht="42.75" customHeight="1" thickBot="1" x14ac:dyDescent="0.55000000000000004">
      <c r="A1" s="304"/>
      <c r="B1" s="305"/>
      <c r="C1" s="305"/>
      <c r="D1" s="306"/>
      <c r="E1" s="765"/>
      <c r="F1" s="766"/>
      <c r="G1" s="766"/>
      <c r="H1" s="766"/>
      <c r="I1" s="766"/>
      <c r="J1" s="766"/>
      <c r="K1" s="766"/>
      <c r="L1" s="766"/>
      <c r="M1" s="766"/>
      <c r="N1" s="767"/>
      <c r="O1" s="756" t="s">
        <v>703</v>
      </c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8"/>
      <c r="AA1" s="756" t="s">
        <v>704</v>
      </c>
      <c r="AB1" s="757"/>
      <c r="AC1" s="757"/>
      <c r="AD1" s="757"/>
      <c r="AE1" s="757"/>
      <c r="AF1" s="757"/>
      <c r="AG1" s="757"/>
      <c r="AH1" s="757"/>
      <c r="AI1" s="757"/>
      <c r="AJ1" s="757"/>
      <c r="AK1" s="757"/>
      <c r="AL1" s="758"/>
      <c r="AM1" s="756" t="s">
        <v>705</v>
      </c>
      <c r="AN1" s="757"/>
      <c r="AO1" s="757"/>
      <c r="AP1" s="757"/>
      <c r="AQ1" s="757"/>
      <c r="AR1" s="757"/>
      <c r="AS1" s="757"/>
      <c r="AT1" s="757"/>
      <c r="AU1" s="757"/>
      <c r="AV1" s="757"/>
      <c r="AW1" s="757"/>
      <c r="AX1" s="758"/>
      <c r="AY1" s="756" t="s">
        <v>852</v>
      </c>
      <c r="AZ1" s="757"/>
      <c r="BA1" s="757"/>
      <c r="BB1" s="757"/>
      <c r="BC1" s="757"/>
      <c r="BD1" s="757"/>
      <c r="BE1" s="757"/>
      <c r="BF1" s="757"/>
      <c r="BG1" s="757"/>
      <c r="BH1" s="757"/>
      <c r="BI1" s="757"/>
      <c r="BJ1" s="758"/>
      <c r="BK1" s="756" t="s">
        <v>950</v>
      </c>
      <c r="BL1" s="757"/>
      <c r="BM1" s="757"/>
      <c r="BN1" s="757"/>
      <c r="BO1" s="757"/>
      <c r="BP1" s="757"/>
      <c r="BQ1" s="757"/>
      <c r="BR1" s="757"/>
      <c r="BS1" s="757"/>
      <c r="BT1" s="757"/>
      <c r="BU1" s="757"/>
      <c r="BV1" s="758"/>
      <c r="BW1" s="756" t="s">
        <v>951</v>
      </c>
      <c r="BX1" s="757"/>
      <c r="BY1" s="757"/>
      <c r="BZ1" s="757"/>
      <c r="CA1" s="757"/>
      <c r="CB1" s="757"/>
      <c r="CC1" s="757"/>
      <c r="CD1" s="757"/>
      <c r="CE1" s="757"/>
      <c r="CF1" s="757"/>
      <c r="CG1" s="757"/>
      <c r="CH1" s="758"/>
      <c r="CI1" s="756" t="s">
        <v>1420</v>
      </c>
      <c r="CJ1" s="757"/>
      <c r="CK1" s="757"/>
      <c r="CL1" s="757"/>
      <c r="CM1" s="757"/>
      <c r="CN1" s="757"/>
      <c r="CO1" s="757"/>
      <c r="CP1" s="757"/>
      <c r="CQ1" s="757"/>
      <c r="CR1" s="757"/>
      <c r="CS1" s="757"/>
      <c r="CT1" s="758"/>
    </row>
    <row r="2" spans="1:98" ht="43.5" customHeight="1" thickBot="1" x14ac:dyDescent="0.4">
      <c r="A2" s="768" t="s">
        <v>706</v>
      </c>
      <c r="B2" s="769"/>
      <c r="C2" s="769"/>
      <c r="D2" s="770"/>
      <c r="E2" s="196">
        <v>39873</v>
      </c>
      <c r="F2" s="197">
        <v>39904</v>
      </c>
      <c r="G2" s="197">
        <v>39934</v>
      </c>
      <c r="H2" s="197">
        <v>39965</v>
      </c>
      <c r="I2" s="197">
        <v>39995</v>
      </c>
      <c r="J2" s="197">
        <v>40026</v>
      </c>
      <c r="K2" s="197">
        <v>40057</v>
      </c>
      <c r="L2" s="197">
        <v>40087</v>
      </c>
      <c r="M2" s="197">
        <v>40118</v>
      </c>
      <c r="N2" s="198">
        <v>40148</v>
      </c>
      <c r="O2" s="200">
        <v>40179</v>
      </c>
      <c r="P2" s="201">
        <v>40210</v>
      </c>
      <c r="Q2" s="201">
        <v>40238</v>
      </c>
      <c r="R2" s="201">
        <v>40269</v>
      </c>
      <c r="S2" s="201">
        <v>40299</v>
      </c>
      <c r="T2" s="201">
        <v>40330</v>
      </c>
      <c r="U2" s="201">
        <v>40360</v>
      </c>
      <c r="V2" s="201">
        <v>40391</v>
      </c>
      <c r="W2" s="201">
        <v>40422</v>
      </c>
      <c r="X2" s="201">
        <v>40452</v>
      </c>
      <c r="Y2" s="201">
        <v>40483</v>
      </c>
      <c r="Z2" s="202">
        <v>40513</v>
      </c>
      <c r="AA2" s="24">
        <v>40544</v>
      </c>
      <c r="AB2" s="24">
        <v>40575</v>
      </c>
      <c r="AC2" s="24">
        <v>40603</v>
      </c>
      <c r="AD2" s="24">
        <v>40634</v>
      </c>
      <c r="AE2" s="24">
        <v>40664</v>
      </c>
      <c r="AF2" s="24">
        <v>40695</v>
      </c>
      <c r="AG2" s="24">
        <v>40725</v>
      </c>
      <c r="AH2" s="24">
        <v>40756</v>
      </c>
      <c r="AI2" s="24">
        <v>40787</v>
      </c>
      <c r="AJ2" s="24">
        <v>40817</v>
      </c>
      <c r="AK2" s="24">
        <v>40848</v>
      </c>
      <c r="AL2" s="24">
        <v>40878</v>
      </c>
      <c r="AM2" s="307">
        <v>40909</v>
      </c>
      <c r="AN2" s="308">
        <v>40940</v>
      </c>
      <c r="AO2" s="308">
        <v>40969</v>
      </c>
      <c r="AP2" s="308">
        <v>41000</v>
      </c>
      <c r="AQ2" s="308">
        <v>41030</v>
      </c>
      <c r="AR2" s="308">
        <v>41061</v>
      </c>
      <c r="AS2" s="308">
        <v>41091</v>
      </c>
      <c r="AT2" s="308">
        <v>41122</v>
      </c>
      <c r="AU2" s="308">
        <v>41153</v>
      </c>
      <c r="AV2" s="308">
        <v>41183</v>
      </c>
      <c r="AW2" s="308">
        <v>41214</v>
      </c>
      <c r="AX2" s="309">
        <v>41244</v>
      </c>
      <c r="AY2" s="307">
        <v>41275</v>
      </c>
      <c r="AZ2" s="307">
        <v>41306</v>
      </c>
      <c r="BA2" s="307">
        <v>41334</v>
      </c>
      <c r="BB2" s="307">
        <v>41365</v>
      </c>
      <c r="BC2" s="307">
        <v>41395</v>
      </c>
      <c r="BD2" s="307">
        <v>41426</v>
      </c>
      <c r="BE2" s="307">
        <v>41456</v>
      </c>
      <c r="BF2" s="307">
        <v>41487</v>
      </c>
      <c r="BG2" s="307">
        <v>41518</v>
      </c>
      <c r="BH2" s="307">
        <v>41548</v>
      </c>
      <c r="BI2" s="307">
        <v>41579</v>
      </c>
      <c r="BJ2" s="307">
        <v>41609</v>
      </c>
      <c r="BK2" s="307">
        <v>41640</v>
      </c>
      <c r="BL2" s="307">
        <v>41671</v>
      </c>
      <c r="BM2" s="307">
        <v>41699</v>
      </c>
      <c r="BN2" s="307">
        <v>41730</v>
      </c>
      <c r="BO2" s="307">
        <v>41760</v>
      </c>
      <c r="BP2" s="307">
        <v>41791</v>
      </c>
      <c r="BQ2" s="307">
        <v>41821</v>
      </c>
      <c r="BR2" s="307">
        <v>41852</v>
      </c>
      <c r="BS2" s="307">
        <v>41883</v>
      </c>
      <c r="BT2" s="307">
        <v>41913</v>
      </c>
      <c r="BU2" s="307">
        <v>41944</v>
      </c>
      <c r="BV2" s="307">
        <v>41974</v>
      </c>
      <c r="BW2" s="307">
        <v>42005</v>
      </c>
      <c r="BX2" s="308">
        <v>42036</v>
      </c>
      <c r="BY2" s="308">
        <v>42064</v>
      </c>
      <c r="BZ2" s="308">
        <v>42095</v>
      </c>
      <c r="CA2" s="308">
        <v>42125</v>
      </c>
      <c r="CB2" s="308">
        <v>42156</v>
      </c>
      <c r="CC2" s="308">
        <v>42186</v>
      </c>
      <c r="CD2" s="308">
        <v>42217</v>
      </c>
      <c r="CE2" s="308">
        <v>42248</v>
      </c>
      <c r="CF2" s="308">
        <v>42278</v>
      </c>
      <c r="CG2" s="308">
        <v>42309</v>
      </c>
      <c r="CH2" s="308">
        <v>42339</v>
      </c>
      <c r="CI2" s="307">
        <v>42370</v>
      </c>
      <c r="CJ2" s="307">
        <v>42401</v>
      </c>
      <c r="CK2" s="307">
        <v>42430</v>
      </c>
      <c r="CL2" s="307">
        <v>42461</v>
      </c>
      <c r="CM2" s="307">
        <v>42491</v>
      </c>
      <c r="CN2" s="307">
        <v>42522</v>
      </c>
      <c r="CO2" s="307">
        <v>42552</v>
      </c>
      <c r="CP2" s="307">
        <v>42583</v>
      </c>
      <c r="CQ2" s="307">
        <v>42614</v>
      </c>
      <c r="CR2" s="307">
        <v>42644</v>
      </c>
      <c r="CS2" s="307">
        <v>42675</v>
      </c>
      <c r="CT2" s="307">
        <v>42705</v>
      </c>
    </row>
    <row r="3" spans="1:98" ht="15.75" thickBot="1" x14ac:dyDescent="0.3">
      <c r="A3" s="285"/>
      <c r="B3" s="285"/>
      <c r="C3" s="302" t="s">
        <v>489</v>
      </c>
      <c r="D3" s="303" t="s">
        <v>109</v>
      </c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688"/>
      <c r="CI3" s="687"/>
      <c r="CJ3" s="199"/>
      <c r="CK3" s="199"/>
      <c r="CL3" s="199"/>
      <c r="CM3" s="199"/>
      <c r="CN3" s="199"/>
      <c r="CO3" s="199"/>
      <c r="CP3" s="199"/>
      <c r="CQ3" s="199"/>
      <c r="CR3" s="199"/>
      <c r="CS3" s="199"/>
      <c r="CT3" s="199"/>
    </row>
    <row r="4" spans="1:98" x14ac:dyDescent="0.25">
      <c r="A4" s="771" t="s">
        <v>109</v>
      </c>
      <c r="B4" s="260">
        <v>1</v>
      </c>
      <c r="C4" s="274" t="s">
        <v>490</v>
      </c>
      <c r="D4" s="265" t="s">
        <v>0</v>
      </c>
      <c r="E4" s="158"/>
      <c r="F4" s="27"/>
      <c r="G4" s="27"/>
      <c r="H4" s="27"/>
      <c r="I4" s="27"/>
      <c r="J4" s="27"/>
      <c r="K4" s="27"/>
      <c r="L4" s="27"/>
      <c r="M4" s="27"/>
      <c r="N4" s="28"/>
      <c r="O4" s="162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6"/>
      <c r="AA4" s="203"/>
      <c r="AB4" s="110"/>
      <c r="AC4" s="206"/>
      <c r="AD4" s="206"/>
      <c r="AE4" s="206"/>
      <c r="AF4" s="206"/>
      <c r="AG4" s="206"/>
      <c r="AH4" s="206"/>
      <c r="AI4" s="206"/>
      <c r="AJ4" s="206"/>
      <c r="AK4" s="206"/>
      <c r="AL4" s="207"/>
      <c r="AM4" s="228"/>
      <c r="AN4" s="229"/>
      <c r="AO4" s="230"/>
      <c r="AQ4" s="230"/>
      <c r="AR4" s="310"/>
      <c r="AS4" s="230"/>
      <c r="AT4" s="230"/>
      <c r="AU4" s="230"/>
      <c r="AV4" s="230"/>
      <c r="AW4" s="230"/>
      <c r="AX4" s="231"/>
      <c r="AY4" s="228"/>
      <c r="AZ4" s="229"/>
      <c r="BA4" s="230"/>
      <c r="BC4" s="230"/>
      <c r="BD4" s="241"/>
      <c r="BE4" s="241"/>
      <c r="BF4" s="230"/>
      <c r="BG4" s="230"/>
      <c r="BH4" s="310"/>
      <c r="BI4" s="230"/>
      <c r="BJ4" s="231"/>
      <c r="BK4" s="240"/>
      <c r="BL4" s="235"/>
      <c r="BM4" s="241"/>
      <c r="BN4" s="345"/>
      <c r="BO4" s="241"/>
      <c r="BP4" s="241"/>
      <c r="BQ4" s="310"/>
      <c r="BR4" s="241"/>
      <c r="BS4" s="241"/>
      <c r="BT4" s="241"/>
      <c r="BU4" s="241"/>
      <c r="BV4" s="242"/>
      <c r="BW4" s="235"/>
      <c r="BX4" s="235"/>
      <c r="BY4" s="254"/>
      <c r="BZ4" s="235"/>
      <c r="CA4" s="235"/>
      <c r="CB4" s="235"/>
      <c r="CC4" s="235"/>
      <c r="CD4" s="235"/>
      <c r="CE4" s="235"/>
      <c r="CF4" s="235"/>
      <c r="CG4" s="259"/>
      <c r="CH4" s="244"/>
      <c r="CI4" s="351"/>
      <c r="CJ4" s="235"/>
      <c r="CK4" s="254"/>
      <c r="CL4" s="235"/>
      <c r="CM4" s="235"/>
      <c r="CN4" s="235"/>
      <c r="CO4" s="235"/>
      <c r="CP4" s="235"/>
      <c r="CQ4" s="235"/>
      <c r="CR4" s="235"/>
      <c r="CS4" s="259"/>
      <c r="CT4" s="235"/>
    </row>
    <row r="5" spans="1:98" x14ac:dyDescent="0.25">
      <c r="A5" s="772"/>
      <c r="B5" s="261">
        <v>2</v>
      </c>
      <c r="C5" s="275" t="s">
        <v>491</v>
      </c>
      <c r="D5" s="266" t="s">
        <v>1</v>
      </c>
      <c r="E5" s="159"/>
      <c r="F5" s="20"/>
      <c r="G5" s="20"/>
      <c r="H5" s="20"/>
      <c r="I5" s="20"/>
      <c r="J5" s="20"/>
      <c r="K5" s="20"/>
      <c r="L5" s="20"/>
      <c r="M5" s="20"/>
      <c r="N5" s="29"/>
      <c r="O5" s="164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7"/>
      <c r="AA5" s="204"/>
      <c r="AB5" s="41"/>
      <c r="AC5" s="208"/>
      <c r="AD5" s="208"/>
      <c r="AE5" s="208"/>
      <c r="AF5" s="208"/>
      <c r="AG5" s="208"/>
      <c r="AH5" s="208"/>
      <c r="AI5" s="208"/>
      <c r="AJ5" s="208"/>
      <c r="AK5" s="208"/>
      <c r="AL5" s="209"/>
      <c r="AM5" s="232"/>
      <c r="AN5" s="229"/>
      <c r="AO5" s="229"/>
      <c r="AP5" s="229"/>
      <c r="AQ5" s="229"/>
      <c r="AR5" s="254"/>
      <c r="AS5" s="229"/>
      <c r="AT5" s="229"/>
      <c r="AU5" s="229"/>
      <c r="AV5" s="229"/>
      <c r="AW5" s="229"/>
      <c r="AX5" s="234"/>
      <c r="AY5" s="232"/>
      <c r="AZ5" s="229"/>
      <c r="BA5" s="229"/>
      <c r="BB5" s="229"/>
      <c r="BC5" s="229"/>
      <c r="BD5" s="235"/>
      <c r="BE5" s="235"/>
      <c r="BF5" s="229"/>
      <c r="BG5" s="229"/>
      <c r="BH5" s="254"/>
      <c r="BI5" s="229"/>
      <c r="BJ5" s="234"/>
      <c r="BK5" s="243"/>
      <c r="BL5" s="235"/>
      <c r="BM5" s="235"/>
      <c r="BN5" s="235"/>
      <c r="BO5" s="235"/>
      <c r="BP5" s="235"/>
      <c r="BQ5" s="254"/>
      <c r="BR5" s="235"/>
      <c r="BS5" s="235"/>
      <c r="BT5" s="235"/>
      <c r="BU5" s="235"/>
      <c r="BV5" s="244"/>
      <c r="BW5" s="235"/>
      <c r="BX5" s="235"/>
      <c r="BY5" s="235"/>
      <c r="BZ5" s="235"/>
      <c r="CA5" s="235"/>
      <c r="CB5" s="235"/>
      <c r="CC5" s="235"/>
      <c r="CD5" s="235"/>
      <c r="CE5" s="254"/>
      <c r="CF5" s="235"/>
      <c r="CG5" s="259"/>
      <c r="CH5" s="244"/>
      <c r="CI5" s="351"/>
      <c r="CJ5" s="235"/>
      <c r="CK5" s="235"/>
      <c r="CL5" s="235"/>
      <c r="CM5" s="235"/>
      <c r="CN5" s="235"/>
      <c r="CO5" s="235"/>
      <c r="CP5" s="235"/>
      <c r="CQ5" s="233"/>
      <c r="CR5" s="235"/>
      <c r="CS5" s="259"/>
      <c r="CT5" s="235"/>
    </row>
    <row r="6" spans="1:98" x14ac:dyDescent="0.25">
      <c r="A6" s="772"/>
      <c r="B6" s="261">
        <v>3</v>
      </c>
      <c r="C6" s="275" t="s">
        <v>492</v>
      </c>
      <c r="D6" s="266" t="s">
        <v>2</v>
      </c>
      <c r="E6" s="159"/>
      <c r="F6" s="20"/>
      <c r="G6" s="20"/>
      <c r="H6" s="20"/>
      <c r="I6" s="20"/>
      <c r="J6" s="20"/>
      <c r="K6" s="20"/>
      <c r="L6" s="20"/>
      <c r="M6" s="20"/>
      <c r="N6" s="29"/>
      <c r="O6" s="164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7"/>
      <c r="AA6" s="204"/>
      <c r="AB6" s="41"/>
      <c r="AC6" s="208"/>
      <c r="AD6" s="208"/>
      <c r="AE6" s="208"/>
      <c r="AF6" s="208"/>
      <c r="AG6" s="208"/>
      <c r="AH6" s="208"/>
      <c r="AI6" s="208"/>
      <c r="AJ6" s="208"/>
      <c r="AK6" s="208"/>
      <c r="AL6" s="209"/>
      <c r="AM6" s="232"/>
      <c r="AN6" s="229"/>
      <c r="AO6" s="229"/>
      <c r="AP6" s="229"/>
      <c r="AQ6" s="229"/>
      <c r="AR6" s="254"/>
      <c r="AS6" s="229"/>
      <c r="AT6" s="229"/>
      <c r="AU6" s="229"/>
      <c r="AV6" s="229"/>
      <c r="AW6" s="229"/>
      <c r="AX6" s="234"/>
      <c r="AY6" s="232"/>
      <c r="AZ6" s="229"/>
      <c r="BA6" s="229"/>
      <c r="BB6" s="229"/>
      <c r="BC6" s="229"/>
      <c r="BD6" s="235"/>
      <c r="BE6" s="235"/>
      <c r="BF6" s="229"/>
      <c r="BG6" s="229"/>
      <c r="BH6" s="254"/>
      <c r="BI6" s="229"/>
      <c r="BJ6" s="234"/>
      <c r="BK6" s="243"/>
      <c r="BL6" s="235"/>
      <c r="BM6" s="235"/>
      <c r="BN6" s="235"/>
      <c r="BO6" s="235"/>
      <c r="BP6" s="235"/>
      <c r="BQ6" s="254"/>
      <c r="BR6" s="235"/>
      <c r="BS6" s="235"/>
      <c r="BT6" s="235"/>
      <c r="BU6" s="235"/>
      <c r="BV6" s="244"/>
      <c r="BW6" s="235"/>
      <c r="BX6" s="235"/>
      <c r="BY6" s="235"/>
      <c r="BZ6" s="235"/>
      <c r="CA6" s="235"/>
      <c r="CB6" s="235"/>
      <c r="CC6" s="235"/>
      <c r="CD6" s="235"/>
      <c r="CE6" s="254"/>
      <c r="CF6" s="235"/>
      <c r="CG6" s="259"/>
      <c r="CH6" s="244"/>
      <c r="CI6" s="351"/>
      <c r="CJ6" s="235"/>
      <c r="CK6" s="235"/>
      <c r="CL6" s="235"/>
      <c r="CM6" s="235"/>
      <c r="CN6" s="235"/>
      <c r="CO6" s="235"/>
      <c r="CP6" s="235"/>
      <c r="CQ6" s="233"/>
      <c r="CR6" s="235"/>
      <c r="CS6" s="259"/>
      <c r="CT6" s="235"/>
    </row>
    <row r="7" spans="1:98" x14ac:dyDescent="0.25">
      <c r="A7" s="772"/>
      <c r="B7" s="261">
        <v>4</v>
      </c>
      <c r="C7" s="275" t="s">
        <v>493</v>
      </c>
      <c r="D7" s="266" t="s">
        <v>3</v>
      </c>
      <c r="E7" s="159"/>
      <c r="F7" s="20"/>
      <c r="G7" s="20"/>
      <c r="H7" s="20"/>
      <c r="I7" s="20"/>
      <c r="J7" s="20"/>
      <c r="K7" s="20"/>
      <c r="L7" s="20"/>
      <c r="M7" s="20"/>
      <c r="N7" s="29"/>
      <c r="O7" s="164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7"/>
      <c r="AA7" s="204"/>
      <c r="AB7" s="41"/>
      <c r="AC7" s="208"/>
      <c r="AD7" s="208"/>
      <c r="AE7" s="208"/>
      <c r="AF7" s="208"/>
      <c r="AG7" s="208"/>
      <c r="AH7" s="208"/>
      <c r="AI7" s="208"/>
      <c r="AJ7" s="208"/>
      <c r="AK7" s="208"/>
      <c r="AL7" s="209"/>
      <c r="AM7" s="232"/>
      <c r="AN7" s="229"/>
      <c r="AO7" s="229"/>
      <c r="AP7" s="229"/>
      <c r="AQ7" s="229"/>
      <c r="AR7" s="254"/>
      <c r="AS7" s="229"/>
      <c r="AT7" s="229"/>
      <c r="AU7" s="229"/>
      <c r="AV7" s="229"/>
      <c r="AW7" s="229"/>
      <c r="AX7" s="234"/>
      <c r="AY7" s="232"/>
      <c r="AZ7" s="229"/>
      <c r="BA7" s="229"/>
      <c r="BB7" s="229"/>
      <c r="BC7" s="229"/>
      <c r="BD7" s="235"/>
      <c r="BE7" s="235"/>
      <c r="BF7" s="229"/>
      <c r="BG7" s="229"/>
      <c r="BH7" s="254"/>
      <c r="BI7" s="229"/>
      <c r="BJ7" s="234"/>
      <c r="BK7" s="243"/>
      <c r="BL7" s="235"/>
      <c r="BM7" s="235"/>
      <c r="BN7" s="235"/>
      <c r="BO7" s="235"/>
      <c r="BP7" s="235"/>
      <c r="BQ7" s="254"/>
      <c r="BR7" s="235"/>
      <c r="BS7" s="235"/>
      <c r="BT7" s="235"/>
      <c r="BU7" s="235"/>
      <c r="BV7" s="244"/>
      <c r="BW7" s="235"/>
      <c r="BX7" s="235"/>
      <c r="BY7" s="235"/>
      <c r="BZ7" s="235"/>
      <c r="CA7" s="235"/>
      <c r="CB7" s="235"/>
      <c r="CC7" s="235"/>
      <c r="CD7" s="235"/>
      <c r="CE7" s="254"/>
      <c r="CF7" s="235"/>
      <c r="CG7" s="259"/>
      <c r="CH7" s="244"/>
      <c r="CI7" s="351"/>
      <c r="CJ7" s="235"/>
      <c r="CK7" s="235"/>
      <c r="CL7" s="235"/>
      <c r="CM7" s="235"/>
      <c r="CN7" s="235"/>
      <c r="CO7" s="235"/>
      <c r="CP7" s="235"/>
      <c r="CQ7" s="233"/>
      <c r="CR7" s="235"/>
      <c r="CS7" s="259"/>
      <c r="CT7" s="235"/>
    </row>
    <row r="8" spans="1:98" x14ac:dyDescent="0.25">
      <c r="A8" s="772"/>
      <c r="B8" s="261">
        <v>5</v>
      </c>
      <c r="C8" s="275" t="s">
        <v>494</v>
      </c>
      <c r="D8" s="266" t="s">
        <v>25</v>
      </c>
      <c r="E8" s="159"/>
      <c r="F8" s="20"/>
      <c r="G8" s="20"/>
      <c r="H8" s="20"/>
      <c r="I8" s="20"/>
      <c r="J8" s="20"/>
      <c r="K8" s="20"/>
      <c r="L8" s="20"/>
      <c r="M8" s="20"/>
      <c r="N8" s="30"/>
      <c r="O8" s="164"/>
      <c r="P8" s="165"/>
      <c r="Q8" s="35"/>
      <c r="R8" s="165"/>
      <c r="S8" s="165"/>
      <c r="T8" s="165"/>
      <c r="U8" s="165"/>
      <c r="V8" s="165"/>
      <c r="W8" s="165"/>
      <c r="X8" s="165"/>
      <c r="Y8" s="165"/>
      <c r="Z8" s="167"/>
      <c r="AA8" s="204"/>
      <c r="AB8" s="41"/>
      <c r="AC8" s="208"/>
      <c r="AD8" s="208"/>
      <c r="AE8" s="208"/>
      <c r="AF8" s="208"/>
      <c r="AG8" s="208"/>
      <c r="AH8" s="208"/>
      <c r="AI8" s="208"/>
      <c r="AJ8" s="208"/>
      <c r="AK8" s="208"/>
      <c r="AL8" s="209"/>
      <c r="AM8" s="232"/>
      <c r="AN8" s="229"/>
      <c r="AO8" s="229"/>
      <c r="AP8" s="229"/>
      <c r="AQ8" s="229"/>
      <c r="AR8" s="254"/>
      <c r="AS8" s="229"/>
      <c r="AT8" s="229"/>
      <c r="AU8" s="229"/>
      <c r="AV8" s="229"/>
      <c r="AW8" s="229"/>
      <c r="AX8" s="234"/>
      <c r="AY8" s="232"/>
      <c r="AZ8" s="229"/>
      <c r="BA8" s="229"/>
      <c r="BB8" s="229"/>
      <c r="BC8" s="229"/>
      <c r="BD8" s="235"/>
      <c r="BE8" s="235"/>
      <c r="BF8" s="229"/>
      <c r="BG8" s="229"/>
      <c r="BH8" s="254"/>
      <c r="BI8" s="229"/>
      <c r="BJ8" s="234"/>
      <c r="BK8" s="243"/>
      <c r="BL8" s="235"/>
      <c r="BM8" s="235"/>
      <c r="BN8" s="235"/>
      <c r="BO8" s="235"/>
      <c r="BP8" s="235"/>
      <c r="BQ8" s="254"/>
      <c r="BR8" s="235"/>
      <c r="BS8" s="235"/>
      <c r="BT8" s="235"/>
      <c r="BU8" s="235"/>
      <c r="BV8" s="244"/>
      <c r="BW8" s="235"/>
      <c r="BX8" s="235"/>
      <c r="BY8" s="235"/>
      <c r="BZ8" s="235"/>
      <c r="CA8" s="254"/>
      <c r="CB8" s="235"/>
      <c r="CC8" s="235"/>
      <c r="CD8" s="235"/>
      <c r="CE8" s="254"/>
      <c r="CF8" s="235"/>
      <c r="CG8" s="259"/>
      <c r="CH8" s="244"/>
      <c r="CI8" s="351"/>
      <c r="CJ8" s="235"/>
      <c r="CK8" s="235"/>
      <c r="CL8" s="235"/>
      <c r="CM8" s="259"/>
      <c r="CN8" s="235"/>
      <c r="CO8" s="235"/>
      <c r="CP8" s="235"/>
      <c r="CQ8" s="233"/>
      <c r="CR8" s="235"/>
      <c r="CS8" s="259"/>
      <c r="CT8" s="235"/>
    </row>
    <row r="9" spans="1:98" x14ac:dyDescent="0.25">
      <c r="A9" s="772"/>
      <c r="B9" s="261">
        <v>6</v>
      </c>
      <c r="C9" s="275" t="s">
        <v>495</v>
      </c>
      <c r="D9" s="266" t="s">
        <v>4</v>
      </c>
      <c r="E9" s="159"/>
      <c r="F9" s="20"/>
      <c r="G9" s="20"/>
      <c r="H9" s="20"/>
      <c r="I9" s="20"/>
      <c r="J9" s="20"/>
      <c r="K9" s="20"/>
      <c r="L9" s="20"/>
      <c r="M9" s="20"/>
      <c r="N9" s="30"/>
      <c r="O9" s="164"/>
      <c r="P9" s="165"/>
      <c r="Q9" s="37"/>
      <c r="R9" s="165"/>
      <c r="S9" s="165"/>
      <c r="T9" s="165"/>
      <c r="U9" s="165"/>
      <c r="V9" s="165"/>
      <c r="W9" s="165"/>
      <c r="X9" s="165"/>
      <c r="Y9" s="165"/>
      <c r="Z9" s="167"/>
      <c r="AA9" s="204"/>
      <c r="AB9" s="37"/>
      <c r="AC9" s="208"/>
      <c r="AD9" s="208"/>
      <c r="AE9" s="208"/>
      <c r="AF9" s="41"/>
      <c r="AG9" s="208"/>
      <c r="AH9" s="208"/>
      <c r="AI9" s="208"/>
      <c r="AJ9" s="208"/>
      <c r="AK9" s="208"/>
      <c r="AL9" s="209"/>
      <c r="AM9" s="232"/>
      <c r="AN9" s="229"/>
      <c r="AO9" s="229"/>
      <c r="AP9" s="229"/>
      <c r="AQ9" s="229"/>
      <c r="AR9" s="319"/>
      <c r="AS9" s="229"/>
      <c r="AT9" s="229"/>
      <c r="AU9" s="229"/>
      <c r="AV9" s="229"/>
      <c r="AW9" s="229"/>
      <c r="AX9" s="234"/>
      <c r="AY9" s="232"/>
      <c r="AZ9" s="229"/>
      <c r="BA9" s="229"/>
      <c r="BB9" s="229"/>
      <c r="BC9" s="229"/>
      <c r="BD9" s="344"/>
      <c r="BF9" s="229"/>
      <c r="BG9" s="229"/>
      <c r="BH9" s="254"/>
      <c r="BI9" s="229"/>
      <c r="BJ9" s="234"/>
      <c r="BK9" s="243"/>
      <c r="BL9" s="235"/>
      <c r="BM9" s="235"/>
      <c r="BN9" s="235"/>
      <c r="BO9" s="235"/>
      <c r="BP9" s="344"/>
      <c r="BQ9" s="254" t="s">
        <v>1039</v>
      </c>
      <c r="BR9" s="235"/>
      <c r="BS9" s="235"/>
      <c r="BT9" s="235"/>
      <c r="BU9" s="235"/>
      <c r="BV9" s="244"/>
      <c r="BW9" s="235"/>
      <c r="BX9" s="235"/>
      <c r="BY9" s="235"/>
      <c r="BZ9" s="235"/>
      <c r="CA9" s="235"/>
      <c r="CB9" s="235"/>
      <c r="CC9" s="235"/>
      <c r="CD9" s="235"/>
      <c r="CE9" s="254"/>
      <c r="CF9" s="235"/>
      <c r="CG9" s="259"/>
      <c r="CH9" s="244"/>
      <c r="CI9" s="351"/>
      <c r="CJ9" s="235"/>
      <c r="CK9" s="235"/>
      <c r="CL9" s="235"/>
      <c r="CM9" s="259"/>
      <c r="CN9" s="235"/>
      <c r="CO9" s="235"/>
      <c r="CP9" s="235"/>
      <c r="CQ9" s="233"/>
      <c r="CR9" s="235"/>
      <c r="CS9" s="259"/>
      <c r="CT9" s="235"/>
    </row>
    <row r="10" spans="1:98" x14ac:dyDescent="0.25">
      <c r="A10" s="772"/>
      <c r="B10" s="261">
        <v>7</v>
      </c>
      <c r="C10" s="275" t="s">
        <v>496</v>
      </c>
      <c r="D10" s="266" t="s">
        <v>5</v>
      </c>
      <c r="E10" s="159"/>
      <c r="F10" s="20"/>
      <c r="G10" s="20"/>
      <c r="H10" s="20"/>
      <c r="I10" s="20"/>
      <c r="J10" s="20"/>
      <c r="K10" s="20"/>
      <c r="L10" s="20"/>
      <c r="M10" s="20"/>
      <c r="N10" s="30"/>
      <c r="O10" s="164"/>
      <c r="P10" s="165"/>
      <c r="Q10" s="165"/>
      <c r="R10" s="165"/>
      <c r="S10" s="165"/>
      <c r="T10" s="41"/>
      <c r="U10" s="165"/>
      <c r="V10" s="165"/>
      <c r="W10" s="165"/>
      <c r="X10" s="165"/>
      <c r="Y10" s="165"/>
      <c r="Z10" s="167"/>
      <c r="AA10" s="204"/>
      <c r="AB10" s="37"/>
      <c r="AC10" s="208"/>
      <c r="AD10" s="208"/>
      <c r="AE10" s="208"/>
      <c r="AF10" s="208"/>
      <c r="AG10" s="208"/>
      <c r="AH10" s="208"/>
      <c r="AI10" s="208"/>
      <c r="AJ10" s="208"/>
      <c r="AK10" s="208"/>
      <c r="AL10" s="209"/>
      <c r="AM10" s="232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34"/>
      <c r="AY10" s="232"/>
      <c r="AZ10" s="229"/>
      <c r="BA10" s="229"/>
      <c r="BB10" s="229"/>
      <c r="BC10" s="229"/>
      <c r="BD10" s="235"/>
      <c r="BE10" s="229"/>
      <c r="BF10" s="229"/>
      <c r="BG10" s="229"/>
      <c r="BH10" s="254"/>
      <c r="BI10" s="229"/>
      <c r="BJ10" s="234"/>
      <c r="BK10" s="243"/>
      <c r="BL10" s="235"/>
      <c r="BM10" s="235"/>
      <c r="BN10" s="235"/>
      <c r="BO10" s="235"/>
      <c r="BP10" s="235"/>
      <c r="BQ10" s="254" t="s">
        <v>1039</v>
      </c>
      <c r="BR10" s="235"/>
      <c r="BS10" s="235"/>
      <c r="BT10" s="235"/>
      <c r="BU10" s="235"/>
      <c r="BV10" s="244"/>
      <c r="BW10" s="235"/>
      <c r="BX10" s="235"/>
      <c r="BY10" s="235"/>
      <c r="BZ10" s="235"/>
      <c r="CA10" s="235"/>
      <c r="CB10" s="235"/>
      <c r="CC10" s="235"/>
      <c r="CD10" s="235"/>
      <c r="CE10" s="254"/>
      <c r="CF10" s="235"/>
      <c r="CG10" s="259"/>
      <c r="CH10" s="244"/>
      <c r="CI10" s="351"/>
      <c r="CJ10" s="235"/>
      <c r="CK10" s="235"/>
      <c r="CL10" s="235"/>
      <c r="CM10" s="259"/>
      <c r="CN10" s="235"/>
      <c r="CO10" s="235"/>
      <c r="CP10" s="235"/>
      <c r="CQ10" s="233"/>
      <c r="CR10" s="235"/>
      <c r="CS10" s="259"/>
      <c r="CT10" s="235"/>
    </row>
    <row r="11" spans="1:98" x14ac:dyDescent="0.25">
      <c r="A11" s="772"/>
      <c r="B11" s="261">
        <v>8</v>
      </c>
      <c r="C11" s="275" t="s">
        <v>497</v>
      </c>
      <c r="D11" s="266" t="s">
        <v>26</v>
      </c>
      <c r="E11" s="159"/>
      <c r="F11" s="20"/>
      <c r="G11" s="20"/>
      <c r="H11" s="20"/>
      <c r="I11" s="20"/>
      <c r="J11" s="20"/>
      <c r="K11" s="20"/>
      <c r="L11" s="20"/>
      <c r="M11" s="20"/>
      <c r="N11" s="38"/>
      <c r="O11" s="164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7"/>
      <c r="AA11" s="204"/>
      <c r="AB11" s="41"/>
      <c r="AC11" s="208"/>
      <c r="AD11" s="208"/>
      <c r="AE11" s="208"/>
      <c r="AF11" s="208"/>
      <c r="AG11" s="208"/>
      <c r="AH11" s="208"/>
      <c r="AI11" s="208"/>
      <c r="AJ11" s="208"/>
      <c r="AK11" s="208"/>
      <c r="AL11" s="209"/>
      <c r="AM11" s="232"/>
      <c r="AN11" s="229"/>
      <c r="AO11" s="229"/>
      <c r="AP11" s="229"/>
      <c r="AQ11" s="229"/>
      <c r="AR11" s="254"/>
      <c r="AS11" s="229"/>
      <c r="AT11" s="229"/>
      <c r="AU11" s="229"/>
      <c r="AV11" s="229"/>
      <c r="AW11" s="229"/>
      <c r="AX11" s="234"/>
      <c r="AY11" s="232"/>
      <c r="AZ11" s="229"/>
      <c r="BA11" s="229"/>
      <c r="BB11" s="229"/>
      <c r="BC11" s="229"/>
      <c r="BD11" s="235"/>
      <c r="BE11" s="229"/>
      <c r="BF11" s="229"/>
      <c r="BG11" s="229"/>
      <c r="BH11" s="254"/>
      <c r="BI11" s="229"/>
      <c r="BJ11" s="234"/>
      <c r="BK11" s="243"/>
      <c r="BL11" s="235"/>
      <c r="BM11" s="235"/>
      <c r="BN11" s="235"/>
      <c r="BO11" s="235"/>
      <c r="BP11" s="235"/>
      <c r="BQ11" s="254" t="s">
        <v>1090</v>
      </c>
      <c r="BR11" s="235"/>
      <c r="BS11" s="235"/>
      <c r="BT11" s="235"/>
      <c r="BU11" s="235"/>
      <c r="BV11" s="244"/>
      <c r="BW11" s="235"/>
      <c r="BX11" s="235"/>
      <c r="BY11" s="235"/>
      <c r="BZ11" s="235"/>
      <c r="CA11" s="235"/>
      <c r="CB11" s="235"/>
      <c r="CC11" s="235"/>
      <c r="CD11" s="235"/>
      <c r="CE11" s="254"/>
      <c r="CF11" s="235"/>
      <c r="CG11" s="259"/>
      <c r="CH11" s="244"/>
      <c r="CI11" s="351"/>
      <c r="CJ11" s="235"/>
      <c r="CK11" s="235"/>
      <c r="CL11" s="235"/>
      <c r="CM11" s="259"/>
      <c r="CN11" s="235"/>
      <c r="CO11" s="235"/>
      <c r="CP11" s="235"/>
      <c r="CQ11" s="233"/>
      <c r="CR11" s="235"/>
      <c r="CS11" s="259"/>
      <c r="CT11" s="235"/>
    </row>
    <row r="12" spans="1:98" x14ac:dyDescent="0.25">
      <c r="A12" s="772"/>
      <c r="B12" s="261">
        <v>9</v>
      </c>
      <c r="C12" s="275" t="s">
        <v>498</v>
      </c>
      <c r="D12" s="266" t="s">
        <v>129</v>
      </c>
      <c r="E12" s="159"/>
      <c r="F12" s="20"/>
      <c r="G12" s="20"/>
      <c r="H12" s="20"/>
      <c r="I12" s="20"/>
      <c r="J12" s="20"/>
      <c r="K12" s="20"/>
      <c r="L12" s="20"/>
      <c r="M12" s="20"/>
      <c r="N12" s="30"/>
      <c r="O12" s="164"/>
      <c r="P12" s="165"/>
      <c r="Q12" s="37"/>
      <c r="R12" s="165"/>
      <c r="S12" s="165"/>
      <c r="T12" s="165"/>
      <c r="U12" s="165"/>
      <c r="V12" s="165"/>
      <c r="W12" s="165"/>
      <c r="X12" s="165"/>
      <c r="Y12" s="165"/>
      <c r="Z12" s="167"/>
      <c r="AA12" s="204"/>
      <c r="AB12" s="41"/>
      <c r="AC12" s="208"/>
      <c r="AD12" s="208"/>
      <c r="AE12" s="208"/>
      <c r="AF12" s="208"/>
      <c r="AG12" s="41"/>
      <c r="AH12" s="208"/>
      <c r="AI12" s="208"/>
      <c r="AJ12" s="208"/>
      <c r="AK12" s="208"/>
      <c r="AL12" s="209"/>
      <c r="AM12" s="232"/>
      <c r="AN12" s="229"/>
      <c r="AO12" s="229"/>
      <c r="AP12" s="229"/>
      <c r="AQ12" s="229"/>
      <c r="AR12" s="254"/>
      <c r="AS12" s="229"/>
      <c r="AT12" s="229"/>
      <c r="AU12" s="229"/>
      <c r="AV12" s="229"/>
      <c r="AW12" s="229"/>
      <c r="AX12" s="234"/>
      <c r="AY12" s="232"/>
      <c r="AZ12" s="229"/>
      <c r="BA12" s="229"/>
      <c r="BB12" s="229"/>
      <c r="BC12" s="229"/>
      <c r="BD12" s="235"/>
      <c r="BE12" s="229"/>
      <c r="BF12" s="229"/>
      <c r="BG12" s="229"/>
      <c r="BH12" s="254"/>
      <c r="BI12" s="229"/>
      <c r="BJ12" s="234"/>
      <c r="BK12" s="243"/>
      <c r="BL12" s="235"/>
      <c r="BM12" s="235"/>
      <c r="BN12" s="235"/>
      <c r="BO12" s="235"/>
      <c r="BP12" s="235"/>
      <c r="BQ12" s="254"/>
      <c r="BR12" s="235"/>
      <c r="BS12" s="235"/>
      <c r="BT12" s="235"/>
      <c r="BU12" s="235"/>
      <c r="BV12" s="244"/>
      <c r="BW12" s="235"/>
      <c r="BX12" s="235"/>
      <c r="BY12" s="235"/>
      <c r="BZ12" s="235"/>
      <c r="CA12" s="254"/>
      <c r="CB12" s="235"/>
      <c r="CC12" s="254"/>
      <c r="CD12" s="235"/>
      <c r="CE12" s="254"/>
      <c r="CF12" s="235"/>
      <c r="CG12" s="259"/>
      <c r="CH12" s="244"/>
      <c r="CI12" s="351"/>
      <c r="CJ12" s="235"/>
      <c r="CK12" s="235"/>
      <c r="CL12" s="235"/>
      <c r="CM12" s="259"/>
      <c r="CN12" s="235"/>
      <c r="CO12" s="259"/>
      <c r="CP12" s="235"/>
      <c r="CQ12" s="233"/>
      <c r="CR12" s="235"/>
      <c r="CS12" s="259"/>
      <c r="CT12" s="235"/>
    </row>
    <row r="13" spans="1:98" x14ac:dyDescent="0.25">
      <c r="A13" s="772"/>
      <c r="B13" s="261">
        <v>10</v>
      </c>
      <c r="C13" s="275" t="s">
        <v>499</v>
      </c>
      <c r="D13" s="266" t="s">
        <v>7</v>
      </c>
      <c r="E13" s="160"/>
      <c r="F13" s="21"/>
      <c r="G13" s="21"/>
      <c r="H13" s="21"/>
      <c r="I13" s="21"/>
      <c r="J13" s="21"/>
      <c r="K13" s="21"/>
      <c r="L13" s="21"/>
      <c r="M13" s="21"/>
      <c r="N13" s="29"/>
      <c r="O13" s="164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7"/>
      <c r="AA13" s="204"/>
      <c r="AB13" s="41"/>
      <c r="AC13" s="208"/>
      <c r="AD13" s="208"/>
      <c r="AE13" s="208"/>
      <c r="AF13" s="208"/>
      <c r="AG13" s="208"/>
      <c r="AH13" s="208"/>
      <c r="AI13" s="208"/>
      <c r="AJ13" s="208"/>
      <c r="AK13" s="208"/>
      <c r="AL13" s="209"/>
      <c r="AM13" s="232"/>
      <c r="AN13" s="229"/>
      <c r="AO13" s="229"/>
      <c r="AP13" s="229"/>
      <c r="AQ13" s="229"/>
      <c r="AR13" s="254"/>
      <c r="AS13" s="229"/>
      <c r="AT13" s="229"/>
      <c r="AU13" s="229"/>
      <c r="AV13" s="229"/>
      <c r="AW13" s="229"/>
      <c r="AX13" s="234"/>
      <c r="AY13" s="232"/>
      <c r="AZ13" s="229"/>
      <c r="BA13" s="229"/>
      <c r="BB13" s="229"/>
      <c r="BC13" s="229"/>
      <c r="BD13" s="235"/>
      <c r="BE13" s="229"/>
      <c r="BF13" s="229"/>
      <c r="BG13" s="229"/>
      <c r="BH13" s="254"/>
      <c r="BI13" s="229"/>
      <c r="BJ13" s="234"/>
      <c r="BK13" s="243"/>
      <c r="BL13" s="235"/>
      <c r="BM13" s="235"/>
      <c r="BN13" s="235"/>
      <c r="BO13" s="235"/>
      <c r="BP13" s="235"/>
      <c r="BQ13" s="254" t="s">
        <v>1039</v>
      </c>
      <c r="BR13" s="235"/>
      <c r="BS13" s="235"/>
      <c r="BT13" s="235"/>
      <c r="BU13" s="235"/>
      <c r="BV13" s="244"/>
      <c r="BW13" s="235"/>
      <c r="BX13" s="235"/>
      <c r="BY13" s="235"/>
      <c r="BZ13" s="235"/>
      <c r="CA13" s="254"/>
      <c r="CB13" s="235"/>
      <c r="CC13" s="235"/>
      <c r="CD13" s="235"/>
      <c r="CE13" s="254"/>
      <c r="CF13" s="235"/>
      <c r="CG13" s="259"/>
      <c r="CH13" s="244"/>
      <c r="CI13" s="351"/>
      <c r="CJ13" s="235"/>
      <c r="CK13" s="235"/>
      <c r="CL13" s="235"/>
      <c r="CM13" s="259"/>
      <c r="CN13" s="235"/>
      <c r="CO13" s="235"/>
      <c r="CP13" s="235"/>
      <c r="CQ13" s="233"/>
      <c r="CR13" s="235"/>
      <c r="CS13" s="259"/>
      <c r="CT13" s="235"/>
    </row>
    <row r="14" spans="1:98" x14ac:dyDescent="0.25">
      <c r="A14" s="772"/>
      <c r="B14" s="261">
        <v>11</v>
      </c>
      <c r="C14" s="275" t="s">
        <v>500</v>
      </c>
      <c r="D14" s="266" t="s">
        <v>8</v>
      </c>
      <c r="E14" s="159"/>
      <c r="F14" s="20"/>
      <c r="G14" s="20"/>
      <c r="H14" s="20"/>
      <c r="I14" s="20"/>
      <c r="J14" s="20"/>
      <c r="K14" s="20"/>
      <c r="L14" s="20"/>
      <c r="M14" s="20"/>
      <c r="N14" s="29"/>
      <c r="O14" s="16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7"/>
      <c r="AA14" s="204"/>
      <c r="AB14" s="41"/>
      <c r="AC14" s="208"/>
      <c r="AD14" s="208"/>
      <c r="AE14" s="208"/>
      <c r="AF14" s="208"/>
      <c r="AG14" s="208"/>
      <c r="AH14" s="208"/>
      <c r="AI14" s="208"/>
      <c r="AJ14" s="208"/>
      <c r="AK14" s="208"/>
      <c r="AL14" s="209"/>
      <c r="AM14" s="232"/>
      <c r="AN14" s="229"/>
      <c r="AO14" s="229"/>
      <c r="AP14" s="229"/>
      <c r="AQ14" s="229"/>
      <c r="AR14" s="254"/>
      <c r="AS14" s="229"/>
      <c r="AT14" s="229"/>
      <c r="AU14" s="229"/>
      <c r="AV14" s="229"/>
      <c r="AW14" s="229"/>
      <c r="AX14" s="234"/>
      <c r="AY14" s="232"/>
      <c r="AZ14" s="229"/>
      <c r="BA14" s="229"/>
      <c r="BB14" s="229"/>
      <c r="BC14" s="229"/>
      <c r="BD14" s="235"/>
      <c r="BE14" s="229"/>
      <c r="BF14" s="229"/>
      <c r="BG14" s="229"/>
      <c r="BH14" s="254"/>
      <c r="BI14" s="229"/>
      <c r="BJ14" s="234"/>
      <c r="BK14" s="243"/>
      <c r="BL14" s="235"/>
      <c r="BM14" s="235"/>
      <c r="BN14" s="235"/>
      <c r="BO14" s="235"/>
      <c r="BP14" s="235"/>
      <c r="BQ14" s="254" t="s">
        <v>1039</v>
      </c>
      <c r="BR14" s="235"/>
      <c r="BS14" s="235"/>
      <c r="BT14" s="235"/>
      <c r="BU14" s="235"/>
      <c r="BV14" s="244"/>
      <c r="BW14" s="235"/>
      <c r="BX14" s="235"/>
      <c r="BY14" s="235"/>
      <c r="BZ14" s="235"/>
      <c r="CA14" s="235"/>
      <c r="CB14" s="235"/>
      <c r="CC14" s="235"/>
      <c r="CD14" s="235"/>
      <c r="CE14" s="254"/>
      <c r="CF14" s="235"/>
      <c r="CG14" s="259"/>
      <c r="CH14" s="244"/>
      <c r="CI14" s="351"/>
      <c r="CJ14" s="235"/>
      <c r="CK14" s="235"/>
      <c r="CL14" s="235"/>
      <c r="CM14" s="259"/>
      <c r="CN14" s="235"/>
      <c r="CO14" s="235"/>
      <c r="CP14" s="235"/>
      <c r="CQ14" s="233"/>
      <c r="CR14" s="235"/>
      <c r="CS14" s="259"/>
      <c r="CT14" s="235"/>
    </row>
    <row r="15" spans="1:98" x14ac:dyDescent="0.25">
      <c r="A15" s="772"/>
      <c r="B15" s="261">
        <v>12</v>
      </c>
      <c r="C15" s="275" t="s">
        <v>501</v>
      </c>
      <c r="D15" s="266" t="s">
        <v>130</v>
      </c>
      <c r="E15" s="159"/>
      <c r="F15" s="20"/>
      <c r="G15" s="20"/>
      <c r="H15" s="20"/>
      <c r="I15" s="20"/>
      <c r="J15" s="20"/>
      <c r="K15" s="20"/>
      <c r="L15" s="20"/>
      <c r="M15" s="20"/>
      <c r="N15" s="30"/>
      <c r="O15" s="43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7"/>
      <c r="AA15" s="204"/>
      <c r="AB15" s="208"/>
      <c r="AC15" s="41"/>
      <c r="AD15" s="208"/>
      <c r="AE15" s="208"/>
      <c r="AF15" s="208"/>
      <c r="AG15" s="208"/>
      <c r="AH15" s="208"/>
      <c r="AI15" s="208"/>
      <c r="AJ15" s="208"/>
      <c r="AK15" s="208"/>
      <c r="AL15" s="209"/>
      <c r="AM15" s="232"/>
      <c r="AN15" s="229"/>
      <c r="AO15" s="229"/>
      <c r="AP15" s="229"/>
      <c r="AQ15" s="235"/>
      <c r="AR15" s="254"/>
      <c r="AS15" s="229"/>
      <c r="AT15" s="229"/>
      <c r="AU15" s="229"/>
      <c r="AV15" s="229"/>
      <c r="AW15" s="229"/>
      <c r="AX15" s="234"/>
      <c r="AY15" s="232"/>
      <c r="AZ15" s="229"/>
      <c r="BA15" s="229"/>
      <c r="BB15" s="229"/>
      <c r="BC15" s="235"/>
      <c r="BD15" s="235"/>
      <c r="BE15" s="229"/>
      <c r="BF15" s="229"/>
      <c r="BG15" s="229"/>
      <c r="BH15" s="254"/>
      <c r="BI15" s="229"/>
      <c r="BJ15" s="234"/>
      <c r="BK15" s="243"/>
      <c r="BL15" s="235"/>
      <c r="BM15" s="235"/>
      <c r="BN15" s="235"/>
      <c r="BO15" s="235"/>
      <c r="BP15" s="235"/>
      <c r="BQ15" s="254"/>
      <c r="BR15" s="235"/>
      <c r="BS15" s="235"/>
      <c r="BT15" s="235"/>
      <c r="BU15" s="235"/>
      <c r="BV15" s="244"/>
      <c r="BW15" s="235"/>
      <c r="BX15" s="235"/>
      <c r="BY15" s="235"/>
      <c r="BZ15" s="235"/>
      <c r="CA15" s="235"/>
      <c r="CB15" s="235"/>
      <c r="CC15" s="235"/>
      <c r="CD15" s="235"/>
      <c r="CE15" s="254"/>
      <c r="CF15" s="235"/>
      <c r="CG15" s="259"/>
      <c r="CH15" s="244"/>
      <c r="CI15" s="351"/>
      <c r="CJ15" s="235"/>
      <c r="CK15" s="235"/>
      <c r="CL15" s="235"/>
      <c r="CM15" s="259"/>
      <c r="CN15" s="235"/>
      <c r="CO15" s="235"/>
      <c r="CP15" s="235"/>
      <c r="CQ15" s="233"/>
      <c r="CR15" s="235"/>
      <c r="CS15" s="259"/>
      <c r="CT15" s="235"/>
    </row>
    <row r="16" spans="1:98" x14ac:dyDescent="0.25">
      <c r="A16" s="772"/>
      <c r="B16" s="261">
        <v>13</v>
      </c>
      <c r="C16" s="275" t="s">
        <v>502</v>
      </c>
      <c r="D16" s="266" t="s">
        <v>12</v>
      </c>
      <c r="E16" s="159"/>
      <c r="F16" s="20"/>
      <c r="G16" s="20"/>
      <c r="H16" s="20"/>
      <c r="I16" s="20"/>
      <c r="J16" s="20"/>
      <c r="K16" s="20"/>
      <c r="L16" s="20"/>
      <c r="M16" s="20"/>
      <c r="N16" s="30"/>
      <c r="O16" s="164"/>
      <c r="P16" s="165"/>
      <c r="Q16" s="165"/>
      <c r="R16" s="165"/>
      <c r="S16" s="165"/>
      <c r="T16" s="41"/>
      <c r="U16" s="165"/>
      <c r="V16" s="165"/>
      <c r="W16" s="165"/>
      <c r="X16" s="165"/>
      <c r="Y16" s="165"/>
      <c r="Z16" s="167"/>
      <c r="AA16" s="204"/>
      <c r="AB16" s="41"/>
      <c r="AC16" s="208"/>
      <c r="AD16" s="208"/>
      <c r="AE16" s="208"/>
      <c r="AF16" s="208"/>
      <c r="AG16" s="208"/>
      <c r="AH16" s="208"/>
      <c r="AI16" s="208"/>
      <c r="AJ16" s="208"/>
      <c r="AK16" s="208"/>
      <c r="AL16" s="209"/>
      <c r="AM16" s="232"/>
      <c r="AN16" s="229"/>
      <c r="AO16" s="229"/>
      <c r="AP16" s="229"/>
      <c r="AQ16" s="229"/>
      <c r="AR16" s="254"/>
      <c r="AS16" s="229"/>
      <c r="AT16" s="229"/>
      <c r="AU16" s="229"/>
      <c r="AV16" s="229"/>
      <c r="AW16" s="229"/>
      <c r="AX16" s="234"/>
      <c r="AY16" s="232"/>
      <c r="AZ16" s="229"/>
      <c r="BA16" s="229"/>
      <c r="BB16" s="229"/>
      <c r="BC16" s="229"/>
      <c r="BD16" s="235"/>
      <c r="BE16" s="229"/>
      <c r="BF16" s="229"/>
      <c r="BG16" s="229"/>
      <c r="BH16" s="254"/>
      <c r="BI16" s="229"/>
      <c r="BJ16" s="234"/>
      <c r="BK16" s="243"/>
      <c r="BL16" s="235"/>
      <c r="BM16" s="235"/>
      <c r="BN16" s="235"/>
      <c r="BO16" s="235"/>
      <c r="BP16" s="235"/>
      <c r="BQ16" s="254"/>
      <c r="BR16" s="235"/>
      <c r="BS16" s="235"/>
      <c r="BT16" s="235"/>
      <c r="BU16" s="235"/>
      <c r="BV16" s="244"/>
      <c r="BW16" s="235"/>
      <c r="BX16" s="235"/>
      <c r="BY16" s="235"/>
      <c r="BZ16" s="235"/>
      <c r="CA16" s="235"/>
      <c r="CB16" s="235"/>
      <c r="CC16" s="235"/>
      <c r="CD16" s="235"/>
      <c r="CE16" s="254"/>
      <c r="CF16" s="235"/>
      <c r="CG16" s="259"/>
      <c r="CH16" s="244"/>
      <c r="CI16" s="351"/>
      <c r="CJ16" s="235"/>
      <c r="CK16" s="254"/>
      <c r="CL16" s="235"/>
      <c r="CM16" s="259"/>
      <c r="CN16" s="235"/>
      <c r="CO16" s="235"/>
      <c r="CP16" s="235"/>
      <c r="CQ16" s="233"/>
      <c r="CR16" s="235"/>
      <c r="CS16" s="259"/>
      <c r="CT16" s="235"/>
    </row>
    <row r="17" spans="1:98" x14ac:dyDescent="0.25">
      <c r="A17" s="772"/>
      <c r="B17" s="261">
        <v>14</v>
      </c>
      <c r="C17" s="275" t="s">
        <v>503</v>
      </c>
      <c r="D17" s="266" t="s">
        <v>13</v>
      </c>
      <c r="E17" s="159"/>
      <c r="F17" s="20"/>
      <c r="G17" s="20"/>
      <c r="H17" s="20"/>
      <c r="I17" s="20"/>
      <c r="J17" s="20"/>
      <c r="K17" s="20"/>
      <c r="L17" s="20"/>
      <c r="M17" s="20"/>
      <c r="N17" s="30"/>
      <c r="O17" s="164"/>
      <c r="P17" s="165"/>
      <c r="Q17" s="165"/>
      <c r="R17" s="165"/>
      <c r="S17" s="165"/>
      <c r="T17" s="41"/>
      <c r="U17" s="165"/>
      <c r="V17" s="165"/>
      <c r="W17" s="165"/>
      <c r="X17" s="165"/>
      <c r="Y17" s="165"/>
      <c r="Z17" s="167"/>
      <c r="AA17" s="204"/>
      <c r="AB17" s="41"/>
      <c r="AC17" s="208"/>
      <c r="AD17" s="208"/>
      <c r="AE17" s="208"/>
      <c r="AF17" s="208"/>
      <c r="AG17" s="208"/>
      <c r="AH17" s="208"/>
      <c r="AI17" s="208"/>
      <c r="AJ17" s="208"/>
      <c r="AK17" s="208"/>
      <c r="AL17" s="209"/>
      <c r="AM17" s="232"/>
      <c r="AN17" s="229"/>
      <c r="AO17" s="229"/>
      <c r="AP17" s="229"/>
      <c r="AQ17" s="229"/>
      <c r="AR17" s="254"/>
      <c r="AS17" s="229"/>
      <c r="AT17" s="229"/>
      <c r="AU17" s="229"/>
      <c r="AV17" s="229"/>
      <c r="AW17" s="229"/>
      <c r="AX17" s="234"/>
      <c r="AY17" s="232"/>
      <c r="AZ17" s="229"/>
      <c r="BA17" s="229"/>
      <c r="BB17" s="229"/>
      <c r="BC17" s="229"/>
      <c r="BD17" s="235"/>
      <c r="BE17" s="229"/>
      <c r="BF17" s="229"/>
      <c r="BG17" s="229"/>
      <c r="BH17" s="254"/>
      <c r="BI17" s="229"/>
      <c r="BJ17" s="234"/>
      <c r="BK17" s="243"/>
      <c r="BL17" s="235"/>
      <c r="BM17" s="235"/>
      <c r="BN17" s="235"/>
      <c r="BO17" s="235"/>
      <c r="BP17" s="235"/>
      <c r="BQ17" s="254"/>
      <c r="BR17" s="235"/>
      <c r="BS17" s="235"/>
      <c r="BT17" s="235"/>
      <c r="BU17" s="235"/>
      <c r="BV17" s="244"/>
      <c r="BW17" s="235"/>
      <c r="BX17" s="235"/>
      <c r="BY17" s="235"/>
      <c r="BZ17" s="235"/>
      <c r="CA17" s="235"/>
      <c r="CB17" s="235"/>
      <c r="CC17" s="235"/>
      <c r="CD17" s="235"/>
      <c r="CE17" s="254"/>
      <c r="CF17" s="235"/>
      <c r="CG17" s="259"/>
      <c r="CH17" s="244"/>
      <c r="CI17" s="351"/>
      <c r="CJ17" s="235"/>
      <c r="CK17" s="254"/>
      <c r="CL17" s="235"/>
      <c r="CM17" s="259"/>
      <c r="CN17" s="235"/>
      <c r="CO17" s="235"/>
      <c r="CP17" s="235"/>
      <c r="CQ17" s="233"/>
      <c r="CR17" s="235"/>
      <c r="CS17" s="259"/>
      <c r="CT17" s="235"/>
    </row>
    <row r="18" spans="1:98" x14ac:dyDescent="0.25">
      <c r="A18" s="772"/>
      <c r="B18" s="261">
        <v>15</v>
      </c>
      <c r="C18" s="275" t="s">
        <v>504</v>
      </c>
      <c r="D18" s="266" t="s">
        <v>9</v>
      </c>
      <c r="E18" s="159"/>
      <c r="F18" s="20"/>
      <c r="G18" s="20"/>
      <c r="H18" s="20"/>
      <c r="I18" s="20"/>
      <c r="J18" s="20"/>
      <c r="K18" s="20"/>
      <c r="L18" s="20"/>
      <c r="M18" s="20"/>
      <c r="N18" s="30"/>
      <c r="O18" s="164"/>
      <c r="P18" s="165"/>
      <c r="Q18" s="41"/>
      <c r="R18" s="165"/>
      <c r="S18" s="165"/>
      <c r="T18" s="41"/>
      <c r="U18" s="165"/>
      <c r="V18" s="165"/>
      <c r="W18" s="165"/>
      <c r="X18" s="165"/>
      <c r="Y18" s="165"/>
      <c r="Z18" s="167"/>
      <c r="AA18" s="204"/>
      <c r="AB18" s="41"/>
      <c r="AC18" s="208"/>
      <c r="AD18" s="208"/>
      <c r="AE18" s="208"/>
      <c r="AF18" s="208"/>
      <c r="AG18" s="208"/>
      <c r="AH18" s="208"/>
      <c r="AI18" s="208"/>
      <c r="AJ18" s="208"/>
      <c r="AK18" s="208"/>
      <c r="AL18" s="209"/>
      <c r="AM18" s="232"/>
      <c r="AN18" s="229"/>
      <c r="AO18" s="229"/>
      <c r="AP18" s="229"/>
      <c r="AQ18" s="229"/>
      <c r="AR18" s="254"/>
      <c r="AS18" s="229"/>
      <c r="AT18" s="229"/>
      <c r="AU18" s="229"/>
      <c r="AV18" s="229"/>
      <c r="AW18" s="229"/>
      <c r="AX18" s="234"/>
      <c r="AY18" s="232"/>
      <c r="AZ18" s="229"/>
      <c r="BA18" s="229"/>
      <c r="BB18" s="229"/>
      <c r="BC18" s="229"/>
      <c r="BD18" s="235"/>
      <c r="BE18" s="229"/>
      <c r="BF18" s="229"/>
      <c r="BG18" s="229"/>
      <c r="BH18" s="254"/>
      <c r="BI18" s="229"/>
      <c r="BJ18" s="234"/>
      <c r="BK18" s="243"/>
      <c r="BL18" s="235"/>
      <c r="BM18" s="235"/>
      <c r="BN18" s="235"/>
      <c r="BO18" s="235"/>
      <c r="BP18" s="235"/>
      <c r="BQ18" s="254" t="s">
        <v>1039</v>
      </c>
      <c r="BR18" s="235"/>
      <c r="BS18" s="235"/>
      <c r="BT18" s="235"/>
      <c r="BU18" s="235"/>
      <c r="BV18" s="244"/>
      <c r="BW18" s="254"/>
      <c r="BX18" s="235"/>
      <c r="BY18" s="254"/>
      <c r="BZ18" s="235"/>
      <c r="CA18" s="235"/>
      <c r="CB18" s="235"/>
      <c r="CC18" s="235"/>
      <c r="CD18" s="235"/>
      <c r="CE18" s="259"/>
      <c r="CF18" s="235"/>
      <c r="CG18" s="259"/>
      <c r="CH18" s="705" t="s">
        <v>1425</v>
      </c>
      <c r="CI18" s="706"/>
      <c r="CJ18" s="259"/>
      <c r="CK18" s="259"/>
      <c r="CL18" s="259"/>
      <c r="CM18" s="259"/>
      <c r="CN18" s="235"/>
      <c r="CO18" s="235"/>
      <c r="CP18" s="235"/>
      <c r="CQ18" s="233"/>
      <c r="CR18" s="235"/>
      <c r="CS18" s="259"/>
      <c r="CT18" s="235"/>
    </row>
    <row r="19" spans="1:98" x14ac:dyDescent="0.25">
      <c r="A19" s="772"/>
      <c r="B19" s="261">
        <v>16</v>
      </c>
      <c r="C19" s="275" t="s">
        <v>505</v>
      </c>
      <c r="D19" s="266" t="s">
        <v>110</v>
      </c>
      <c r="E19" s="159"/>
      <c r="F19" s="20"/>
      <c r="G19" s="20"/>
      <c r="H19" s="20"/>
      <c r="I19" s="20"/>
      <c r="J19" s="40"/>
      <c r="K19" s="20"/>
      <c r="L19" s="20"/>
      <c r="M19" s="20"/>
      <c r="N19" s="30"/>
      <c r="O19" s="164"/>
      <c r="P19" s="165"/>
      <c r="Q19" s="165"/>
      <c r="R19" s="165"/>
      <c r="S19" s="165"/>
      <c r="T19" s="41"/>
      <c r="U19" s="165"/>
      <c r="V19" s="165"/>
      <c r="W19" s="165"/>
      <c r="X19" s="165"/>
      <c r="Y19" s="168"/>
      <c r="Z19" s="167"/>
      <c r="AA19" s="204"/>
      <c r="AB19" s="41"/>
      <c r="AC19" s="208"/>
      <c r="AD19" s="208"/>
      <c r="AE19" s="208"/>
      <c r="AF19" s="208"/>
      <c r="AG19" s="208"/>
      <c r="AH19" s="208"/>
      <c r="AI19" s="208"/>
      <c r="AJ19" s="208"/>
      <c r="AK19" s="208"/>
      <c r="AL19" s="209"/>
      <c r="AM19" s="232"/>
      <c r="AN19" s="229"/>
      <c r="AO19" s="229"/>
      <c r="AP19" s="229"/>
      <c r="AQ19" s="229"/>
      <c r="AR19" s="254"/>
      <c r="AS19" s="229"/>
      <c r="AT19" s="229"/>
      <c r="AU19" s="229"/>
      <c r="AV19" s="229"/>
      <c r="AW19" s="229"/>
      <c r="AX19" s="234"/>
      <c r="AY19" s="232"/>
      <c r="AZ19" s="229"/>
      <c r="BA19" s="229"/>
      <c r="BB19" s="229"/>
      <c r="BC19" s="229"/>
      <c r="BD19" s="235"/>
      <c r="BE19" s="229"/>
      <c r="BF19" s="229"/>
      <c r="BG19" s="229"/>
      <c r="BH19" s="254"/>
      <c r="BI19" s="229"/>
      <c r="BJ19" s="234"/>
      <c r="BK19" s="243"/>
      <c r="BL19" s="235"/>
      <c r="BM19" s="235"/>
      <c r="BN19" s="235"/>
      <c r="BO19" s="235"/>
      <c r="BP19" s="235"/>
      <c r="BQ19" s="254"/>
      <c r="BR19" s="235"/>
      <c r="BS19" s="235"/>
      <c r="BT19" s="235"/>
      <c r="BU19" s="235"/>
      <c r="BV19" s="244"/>
      <c r="BW19" s="235"/>
      <c r="BX19" s="235"/>
      <c r="BY19" s="235"/>
      <c r="BZ19" s="235"/>
      <c r="CA19" s="235"/>
      <c r="CB19" s="235"/>
      <c r="CC19" s="235"/>
      <c r="CD19" s="235"/>
      <c r="CE19" s="254"/>
      <c r="CF19" s="235"/>
      <c r="CG19" s="259"/>
      <c r="CH19" s="244"/>
      <c r="CI19" s="351"/>
      <c r="CJ19" s="235"/>
      <c r="CK19" s="235"/>
      <c r="CL19" s="235"/>
      <c r="CM19" s="259"/>
      <c r="CN19" s="235"/>
      <c r="CO19" s="235"/>
      <c r="CP19" s="235"/>
      <c r="CQ19" s="233"/>
      <c r="CR19" s="235"/>
      <c r="CS19" s="259"/>
      <c r="CT19" s="235"/>
    </row>
    <row r="20" spans="1:98" x14ac:dyDescent="0.25">
      <c r="A20" s="772"/>
      <c r="B20" s="261">
        <v>17</v>
      </c>
      <c r="C20" s="275" t="s">
        <v>506</v>
      </c>
      <c r="D20" s="266" t="s">
        <v>14</v>
      </c>
      <c r="E20" s="159"/>
      <c r="F20" s="20"/>
      <c r="G20" s="20"/>
      <c r="H20" s="20"/>
      <c r="I20" s="20"/>
      <c r="J20" s="20"/>
      <c r="K20" s="39"/>
      <c r="L20" s="20"/>
      <c r="M20" s="20"/>
      <c r="N20" s="30"/>
      <c r="O20" s="164"/>
      <c r="P20" s="165"/>
      <c r="Q20" s="165"/>
      <c r="R20" s="165"/>
      <c r="S20" s="165"/>
      <c r="T20" s="41"/>
      <c r="U20" s="165"/>
      <c r="V20" s="165"/>
      <c r="W20" s="165"/>
      <c r="X20" s="165"/>
      <c r="Y20" s="165"/>
      <c r="Z20" s="167"/>
      <c r="AA20" s="204"/>
      <c r="AB20" s="41"/>
      <c r="AC20" s="208"/>
      <c r="AD20" s="208"/>
      <c r="AE20" s="208"/>
      <c r="AF20" s="208"/>
      <c r="AG20" s="208"/>
      <c r="AH20" s="208"/>
      <c r="AI20" s="208"/>
      <c r="AJ20" s="208"/>
      <c r="AK20" s="208"/>
      <c r="AL20" s="209"/>
      <c r="AM20" s="232"/>
      <c r="AN20" s="229"/>
      <c r="AO20" s="229"/>
      <c r="AP20" s="229"/>
      <c r="AQ20" s="229"/>
      <c r="AR20" s="254"/>
      <c r="AS20" s="229"/>
      <c r="AT20" s="229"/>
      <c r="AU20" s="229"/>
      <c r="AV20" s="229"/>
      <c r="AW20" s="229"/>
      <c r="AX20" s="234"/>
      <c r="AY20" s="232"/>
      <c r="AZ20" s="229"/>
      <c r="BA20" s="229"/>
      <c r="BB20" s="229"/>
      <c r="BC20" s="229"/>
      <c r="BD20" s="235"/>
      <c r="BE20" s="254" t="s">
        <v>923</v>
      </c>
      <c r="BF20" s="229"/>
      <c r="BG20" s="254" t="s">
        <v>966</v>
      </c>
      <c r="BH20" s="229"/>
      <c r="BI20" s="229"/>
      <c r="BJ20" s="234"/>
      <c r="BK20" s="243"/>
      <c r="BL20" s="235"/>
      <c r="BM20" s="235"/>
      <c r="BN20" s="235"/>
      <c r="BO20" s="235"/>
      <c r="BP20" s="235"/>
      <c r="BQ20" s="254" t="s">
        <v>1091</v>
      </c>
      <c r="BR20" s="235"/>
      <c r="BS20" s="235"/>
      <c r="BT20" s="235"/>
      <c r="BU20" s="235"/>
      <c r="BV20" s="244"/>
      <c r="BW20" s="235"/>
      <c r="BX20" s="235"/>
      <c r="BY20" s="254"/>
      <c r="BZ20" s="235"/>
      <c r="CA20" s="254"/>
      <c r="CB20" s="235"/>
      <c r="CC20" s="235"/>
      <c r="CD20" s="235"/>
      <c r="CE20" s="235"/>
      <c r="CF20" s="235"/>
      <c r="CG20" s="259"/>
      <c r="CH20" s="349"/>
      <c r="CI20" s="351"/>
      <c r="CJ20" s="235"/>
      <c r="CK20" s="259"/>
      <c r="CL20" s="235"/>
      <c r="CM20" s="259"/>
      <c r="CN20" s="235"/>
      <c r="CO20" s="235"/>
      <c r="CP20" s="235"/>
      <c r="CQ20" s="235"/>
      <c r="CR20" s="235"/>
      <c r="CS20" s="259"/>
      <c r="CT20" s="235"/>
    </row>
    <row r="21" spans="1:98" x14ac:dyDescent="0.25">
      <c r="A21" s="772"/>
      <c r="B21" s="261">
        <v>18</v>
      </c>
      <c r="C21" s="275" t="s">
        <v>507</v>
      </c>
      <c r="D21" s="266" t="s">
        <v>128</v>
      </c>
      <c r="E21" s="159"/>
      <c r="F21" s="20"/>
      <c r="G21" s="20"/>
      <c r="H21" s="20"/>
      <c r="I21" s="20"/>
      <c r="J21" s="20"/>
      <c r="K21" s="20"/>
      <c r="L21" s="20"/>
      <c r="M21" s="20"/>
      <c r="N21" s="30"/>
      <c r="O21" s="164"/>
      <c r="P21" s="165"/>
      <c r="Q21" s="165"/>
      <c r="R21" s="165"/>
      <c r="S21" s="165"/>
      <c r="T21" s="41"/>
      <c r="U21" s="165"/>
      <c r="V21" s="165"/>
      <c r="W21" s="165"/>
      <c r="X21" s="165"/>
      <c r="Y21" s="165"/>
      <c r="Z21" s="167"/>
      <c r="AA21" s="204"/>
      <c r="AB21" s="41"/>
      <c r="AC21" s="208"/>
      <c r="AD21" s="208"/>
      <c r="AE21" s="208"/>
      <c r="AF21" s="208"/>
      <c r="AG21" s="208"/>
      <c r="AH21" s="208"/>
      <c r="AI21" s="208"/>
      <c r="AJ21" s="208"/>
      <c r="AK21" s="208"/>
      <c r="AL21" s="209"/>
      <c r="AM21" s="232"/>
      <c r="AN21" s="229"/>
      <c r="AO21" s="229"/>
      <c r="AP21" s="229"/>
      <c r="AQ21" s="229"/>
      <c r="AR21" s="254"/>
      <c r="AS21" s="229"/>
      <c r="AT21" s="229"/>
      <c r="AU21" s="229"/>
      <c r="AV21" s="229"/>
      <c r="AW21" s="229"/>
      <c r="AX21" s="234"/>
      <c r="AY21" s="232"/>
      <c r="AZ21" s="229"/>
      <c r="BA21" s="229"/>
      <c r="BB21" s="229"/>
      <c r="BC21" s="229"/>
      <c r="BD21" s="235"/>
      <c r="BE21" s="235"/>
      <c r="BF21" s="229"/>
      <c r="BG21" s="229"/>
      <c r="BH21" s="254"/>
      <c r="BI21" s="229"/>
      <c r="BJ21" s="234"/>
      <c r="BK21" s="243"/>
      <c r="BL21" s="235"/>
      <c r="BM21" s="235"/>
      <c r="BN21" s="235"/>
      <c r="BO21" s="235"/>
      <c r="BP21" s="235"/>
      <c r="BQ21" s="254"/>
      <c r="BR21" s="235"/>
      <c r="BS21" s="235"/>
      <c r="BT21" s="235"/>
      <c r="BU21" s="235"/>
      <c r="BV21" s="244"/>
      <c r="BW21" s="235"/>
      <c r="BX21" s="235"/>
      <c r="BY21" s="235"/>
      <c r="BZ21" s="235"/>
      <c r="CA21" s="235"/>
      <c r="CB21" s="235"/>
      <c r="CC21" s="254"/>
      <c r="CD21" s="235"/>
      <c r="CE21" s="254"/>
      <c r="CF21" s="235"/>
      <c r="CG21" s="259"/>
      <c r="CH21" s="244"/>
      <c r="CI21" s="351"/>
      <c r="CJ21" s="235"/>
      <c r="CK21" s="235"/>
      <c r="CL21" s="235"/>
      <c r="CM21" s="259"/>
      <c r="CN21" s="235"/>
      <c r="CO21" s="259"/>
      <c r="CP21" s="235"/>
      <c r="CQ21" s="233"/>
      <c r="CR21" s="235"/>
      <c r="CS21" s="259"/>
      <c r="CT21" s="235"/>
    </row>
    <row r="22" spans="1:98" x14ac:dyDescent="0.25">
      <c r="A22" s="772"/>
      <c r="B22" s="261">
        <v>19</v>
      </c>
      <c r="C22" s="275" t="s">
        <v>508</v>
      </c>
      <c r="D22" s="267" t="s">
        <v>10</v>
      </c>
      <c r="E22" s="159"/>
      <c r="F22" s="20"/>
      <c r="G22" s="20"/>
      <c r="H22" s="20"/>
      <c r="I22" s="20"/>
      <c r="J22" s="20"/>
      <c r="K22" s="20"/>
      <c r="L22" s="20"/>
      <c r="M22" s="20"/>
      <c r="N22" s="30"/>
      <c r="O22" s="164"/>
      <c r="P22" s="165"/>
      <c r="Q22" s="41"/>
      <c r="R22" s="165"/>
      <c r="S22" s="165"/>
      <c r="T22" s="41"/>
      <c r="U22" s="165"/>
      <c r="V22" s="165"/>
      <c r="W22" s="165"/>
      <c r="X22" s="165"/>
      <c r="Y22" s="165"/>
      <c r="Z22" s="167"/>
      <c r="AA22" s="204"/>
      <c r="AB22" s="41"/>
      <c r="AC22" s="208"/>
      <c r="AD22" s="208"/>
      <c r="AE22" s="208"/>
      <c r="AF22" s="208"/>
      <c r="AG22" s="208"/>
      <c r="AH22" s="208"/>
      <c r="AI22" s="208"/>
      <c r="AJ22" s="208"/>
      <c r="AK22" s="208"/>
      <c r="AL22" s="209"/>
      <c r="AM22" s="232"/>
      <c r="AN22" s="229"/>
      <c r="AO22" s="229"/>
      <c r="AP22" s="229"/>
      <c r="AQ22" s="229"/>
      <c r="AR22" s="254"/>
      <c r="AS22" s="229"/>
      <c r="AT22" s="229"/>
      <c r="AU22" s="229"/>
      <c r="AV22" s="229"/>
      <c r="AW22" s="229"/>
      <c r="AX22" s="234"/>
      <c r="AY22" s="232"/>
      <c r="AZ22" s="229"/>
      <c r="BA22" s="229"/>
      <c r="BB22" s="229"/>
      <c r="BC22" s="229"/>
      <c r="BD22" s="235"/>
      <c r="BE22" s="235"/>
      <c r="BF22" s="229"/>
      <c r="BG22" s="229"/>
      <c r="BH22" s="254"/>
      <c r="BI22" s="229"/>
      <c r="BJ22" s="234"/>
      <c r="BK22" s="243"/>
      <c r="BL22" s="235"/>
      <c r="BM22" s="235"/>
      <c r="BN22" s="235"/>
      <c r="BO22" s="235"/>
      <c r="BP22" s="235"/>
      <c r="BQ22" s="254"/>
      <c r="BR22" s="235"/>
      <c r="BS22" s="235"/>
      <c r="BT22" s="235"/>
      <c r="BU22" s="235"/>
      <c r="BV22" s="244"/>
      <c r="BW22" s="235"/>
      <c r="BX22" s="235"/>
      <c r="BY22" s="235"/>
      <c r="BZ22" s="235"/>
      <c r="CA22" s="235"/>
      <c r="CB22" s="235"/>
      <c r="CC22" s="254"/>
      <c r="CD22" s="235"/>
      <c r="CE22" s="235"/>
      <c r="CF22" s="235"/>
      <c r="CG22" s="259"/>
      <c r="CH22" s="244"/>
      <c r="CI22" s="351"/>
      <c r="CJ22" s="235"/>
      <c r="CK22" s="235"/>
      <c r="CL22" s="235"/>
      <c r="CM22" s="235"/>
      <c r="CN22" s="235"/>
      <c r="CO22" s="259"/>
      <c r="CP22" s="235"/>
      <c r="CQ22" s="235"/>
      <c r="CR22" s="235"/>
      <c r="CS22" s="259"/>
      <c r="CT22" s="235"/>
    </row>
    <row r="23" spans="1:98" ht="15.75" thickBot="1" x14ac:dyDescent="0.3">
      <c r="A23" s="773"/>
      <c r="B23" s="273">
        <v>20</v>
      </c>
      <c r="C23" s="276" t="s">
        <v>509</v>
      </c>
      <c r="D23" s="267" t="s">
        <v>11</v>
      </c>
      <c r="E23" s="161"/>
      <c r="F23" s="33"/>
      <c r="G23" s="33"/>
      <c r="H23" s="33"/>
      <c r="I23" s="33"/>
      <c r="J23" s="33"/>
      <c r="K23" s="33"/>
      <c r="L23" s="33"/>
      <c r="M23" s="33"/>
      <c r="N23" s="34"/>
      <c r="O23" s="171"/>
      <c r="P23" s="169"/>
      <c r="Q23" s="44"/>
      <c r="R23" s="169"/>
      <c r="S23" s="169"/>
      <c r="T23" s="44"/>
      <c r="U23" s="169"/>
      <c r="V23" s="169"/>
      <c r="W23" s="169"/>
      <c r="X23" s="169"/>
      <c r="Y23" s="169"/>
      <c r="Z23" s="170"/>
      <c r="AA23" s="205"/>
      <c r="AB23" s="41"/>
      <c r="AC23" s="210"/>
      <c r="AD23" s="210"/>
      <c r="AE23" s="210"/>
      <c r="AF23" s="210"/>
      <c r="AG23" s="210"/>
      <c r="AH23" s="210"/>
      <c r="AI23" s="210"/>
      <c r="AJ23" s="210"/>
      <c r="AK23" s="210"/>
      <c r="AL23" s="211"/>
      <c r="AM23" s="236"/>
      <c r="AN23" s="237"/>
      <c r="AO23" s="229"/>
      <c r="AP23" s="229"/>
      <c r="AQ23" s="237"/>
      <c r="AR23" s="318"/>
      <c r="AS23" s="237"/>
      <c r="AT23" s="237"/>
      <c r="AU23" s="237"/>
      <c r="AV23" s="237"/>
      <c r="AW23" s="237"/>
      <c r="AX23" s="238"/>
      <c r="AY23" s="236"/>
      <c r="AZ23" s="237"/>
      <c r="BA23" s="229"/>
      <c r="BB23" s="229"/>
      <c r="BC23" s="237"/>
      <c r="BD23" s="248"/>
      <c r="BF23" s="237"/>
      <c r="BG23" s="237"/>
      <c r="BH23" s="254"/>
      <c r="BI23" s="237"/>
      <c r="BJ23" s="238"/>
      <c r="BK23" s="247"/>
      <c r="BL23" s="248"/>
      <c r="BM23" s="235"/>
      <c r="BN23" s="235"/>
      <c r="BO23" s="248"/>
      <c r="BP23" s="248"/>
      <c r="BQ23" s="254"/>
      <c r="BR23" s="248"/>
      <c r="BS23" s="248"/>
      <c r="BT23" s="248"/>
      <c r="BU23" s="248"/>
      <c r="BV23" s="249"/>
      <c r="BW23" s="235"/>
      <c r="BX23" s="235"/>
      <c r="BY23" s="235"/>
      <c r="BZ23" s="235"/>
      <c r="CA23" s="235"/>
      <c r="CB23" s="235"/>
      <c r="CC23" s="235"/>
      <c r="CD23" s="235"/>
      <c r="CE23" s="235"/>
      <c r="CF23" s="235"/>
      <c r="CG23" s="259"/>
      <c r="CH23" s="244"/>
      <c r="CI23" s="351"/>
      <c r="CJ23" s="235"/>
      <c r="CK23" s="235"/>
      <c r="CL23" s="235"/>
      <c r="CM23" s="235"/>
      <c r="CN23" s="235"/>
      <c r="CO23" s="259"/>
      <c r="CP23" s="235"/>
      <c r="CQ23" s="235"/>
      <c r="CR23" s="235"/>
      <c r="CS23" s="259"/>
      <c r="CT23" s="235"/>
    </row>
    <row r="24" spans="1:98" ht="15.75" thickBot="1" x14ac:dyDescent="0.3">
      <c r="A24" s="278"/>
      <c r="B24" s="279"/>
      <c r="C24" s="286" t="s">
        <v>489</v>
      </c>
      <c r="D24" s="268" t="s">
        <v>108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39"/>
      <c r="BL24" s="239"/>
      <c r="BM24" s="239"/>
      <c r="BN24" s="239"/>
      <c r="BO24" s="239"/>
      <c r="BP24" s="239"/>
      <c r="BQ24" s="239"/>
      <c r="BR24" s="239"/>
      <c r="BS24" s="239"/>
      <c r="BT24" s="239"/>
      <c r="BU24" s="239"/>
      <c r="BV24" s="239"/>
      <c r="BW24" s="239"/>
      <c r="BX24" s="239"/>
      <c r="BY24" s="239"/>
      <c r="BZ24" s="239"/>
      <c r="CA24" s="239"/>
      <c r="CB24" s="239"/>
      <c r="CC24" s="239"/>
      <c r="CD24" s="239"/>
      <c r="CE24" s="239"/>
      <c r="CF24" s="239"/>
      <c r="CG24" s="239"/>
      <c r="CH24" s="689"/>
      <c r="CI24" s="303"/>
      <c r="CJ24" s="239"/>
      <c r="CK24" s="239"/>
      <c r="CL24" s="239"/>
      <c r="CM24" s="239"/>
      <c r="CN24" s="239"/>
      <c r="CO24" s="239"/>
      <c r="CP24" s="239"/>
      <c r="CQ24" s="239"/>
      <c r="CR24" s="239"/>
      <c r="CS24" s="239"/>
      <c r="CT24" s="239"/>
    </row>
    <row r="25" spans="1:98" x14ac:dyDescent="0.25">
      <c r="A25" s="774" t="s">
        <v>457</v>
      </c>
      <c r="B25" s="280">
        <v>21</v>
      </c>
      <c r="C25" s="282" t="s">
        <v>510</v>
      </c>
      <c r="D25" s="269" t="s">
        <v>135</v>
      </c>
      <c r="E25" s="49"/>
      <c r="F25" s="50"/>
      <c r="G25" s="50"/>
      <c r="H25" s="50"/>
      <c r="I25" s="50"/>
      <c r="J25" s="51"/>
      <c r="K25" s="50"/>
      <c r="L25" s="50"/>
      <c r="M25" s="50"/>
      <c r="N25" s="52"/>
      <c r="O25" s="162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75"/>
      <c r="AA25" s="219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23"/>
      <c r="AM25" s="240"/>
      <c r="AN25" s="310"/>
      <c r="AO25" s="241"/>
      <c r="AP25" s="241"/>
      <c r="AQ25" s="241"/>
      <c r="AR25" s="241"/>
      <c r="AS25" s="241"/>
      <c r="AT25" s="241"/>
      <c r="AU25" s="241"/>
      <c r="AV25" s="241"/>
      <c r="AW25" s="241"/>
      <c r="AX25" s="242"/>
      <c r="AY25" s="240"/>
      <c r="AZ25" s="241"/>
      <c r="BA25" s="241"/>
      <c r="BB25" s="310"/>
      <c r="BC25" s="241"/>
      <c r="BD25" s="241"/>
      <c r="BE25" s="241"/>
      <c r="BF25" s="241"/>
      <c r="BG25" s="241"/>
      <c r="BH25" s="241"/>
      <c r="BI25" s="241"/>
      <c r="BJ25" s="242"/>
      <c r="BK25" s="240"/>
      <c r="BL25" s="241"/>
      <c r="BM25" s="241"/>
      <c r="BN25" s="241"/>
      <c r="BP25" s="310"/>
      <c r="BQ25" s="241"/>
      <c r="BR25" s="241"/>
      <c r="BS25" s="241"/>
      <c r="BT25" s="241"/>
      <c r="BU25" s="241"/>
      <c r="BV25" s="242"/>
      <c r="BW25" s="235"/>
      <c r="BX25" s="235"/>
      <c r="BY25" s="235"/>
      <c r="BZ25" s="235"/>
      <c r="CA25" s="235"/>
      <c r="CB25" s="235"/>
      <c r="CC25" s="235"/>
      <c r="CD25" s="254"/>
      <c r="CE25" s="235"/>
      <c r="CF25" s="235"/>
      <c r="CG25" s="235"/>
      <c r="CH25" s="244"/>
      <c r="CI25" s="351"/>
      <c r="CJ25" s="235"/>
      <c r="CK25" s="235"/>
      <c r="CL25" s="235"/>
      <c r="CM25" s="235"/>
      <c r="CN25" s="235"/>
      <c r="CO25" s="235"/>
      <c r="CP25" s="254"/>
      <c r="CQ25" s="235"/>
      <c r="CR25" s="235"/>
      <c r="CS25" s="235"/>
      <c r="CT25" s="235"/>
    </row>
    <row r="26" spans="1:98" x14ac:dyDescent="0.25">
      <c r="A26" s="775"/>
      <c r="B26" s="262">
        <v>22</v>
      </c>
      <c r="C26" s="283" t="s">
        <v>511</v>
      </c>
      <c r="D26" s="269" t="s">
        <v>136</v>
      </c>
      <c r="E26" s="31"/>
      <c r="F26" s="21"/>
      <c r="G26" s="21"/>
      <c r="H26" s="21"/>
      <c r="I26" s="21"/>
      <c r="J26" s="21"/>
      <c r="K26" s="46"/>
      <c r="L26" s="21"/>
      <c r="M26" s="21"/>
      <c r="N26" s="32"/>
      <c r="O26" s="164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77"/>
      <c r="AA26" s="219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23"/>
      <c r="AM26" s="243"/>
      <c r="AN26" s="254"/>
      <c r="AP26" s="235"/>
      <c r="AQ26" s="235"/>
      <c r="AR26" s="235"/>
      <c r="AS26" s="235"/>
      <c r="AT26" s="235"/>
      <c r="AU26" s="235"/>
      <c r="AV26" s="235"/>
      <c r="AW26" s="235"/>
      <c r="AX26" s="244"/>
      <c r="AY26" s="124"/>
      <c r="AZ26" s="235"/>
      <c r="BB26" s="235"/>
      <c r="BC26" s="235"/>
      <c r="BD26" s="235"/>
      <c r="BE26" s="235"/>
      <c r="BF26" s="235"/>
      <c r="BG26" s="235"/>
      <c r="BH26" s="235"/>
      <c r="BI26" s="235"/>
      <c r="BJ26" s="244"/>
      <c r="BK26" s="345"/>
      <c r="BL26" s="235"/>
      <c r="BN26" s="235"/>
      <c r="BO26" s="235"/>
      <c r="BP26" s="124"/>
      <c r="BQ26" s="235"/>
      <c r="BR26" s="235"/>
      <c r="BS26" s="235"/>
      <c r="BT26" s="235"/>
      <c r="BU26" s="235"/>
      <c r="BV26" s="244"/>
      <c r="BW26" s="235"/>
      <c r="BX26" s="235"/>
      <c r="BY26" s="235"/>
      <c r="BZ26" s="235"/>
      <c r="CA26" s="235"/>
      <c r="CB26" s="235"/>
      <c r="CC26" s="235"/>
      <c r="CD26" s="254"/>
      <c r="CE26" s="235"/>
      <c r="CF26" s="235"/>
      <c r="CG26" s="235"/>
      <c r="CH26" s="244"/>
      <c r="CI26" s="351"/>
      <c r="CJ26" s="235"/>
      <c r="CK26" s="235"/>
      <c r="CL26" s="254" t="s">
        <v>1377</v>
      </c>
      <c r="CM26" s="235"/>
      <c r="CN26" s="235"/>
      <c r="CO26" s="235"/>
      <c r="CP26" s="254"/>
      <c r="CQ26" s="235"/>
      <c r="CR26" s="235"/>
      <c r="CS26" s="235"/>
      <c r="CT26" s="235"/>
    </row>
    <row r="27" spans="1:98" x14ac:dyDescent="0.25">
      <c r="A27" s="775"/>
      <c r="B27" s="262">
        <v>23</v>
      </c>
      <c r="C27" s="283" t="s">
        <v>512</v>
      </c>
      <c r="D27" s="269" t="s">
        <v>137</v>
      </c>
      <c r="E27" s="31"/>
      <c r="F27" s="21"/>
      <c r="G27" s="21"/>
      <c r="H27" s="21"/>
      <c r="I27" s="21"/>
      <c r="J27" s="46"/>
      <c r="K27" s="21"/>
      <c r="L27" s="21"/>
      <c r="M27" s="21"/>
      <c r="N27" s="32"/>
      <c r="O27" s="164"/>
      <c r="P27" s="165"/>
      <c r="Q27" s="165"/>
      <c r="R27" s="165"/>
      <c r="S27" s="165"/>
      <c r="T27" s="165"/>
      <c r="U27" s="165"/>
      <c r="V27" s="165"/>
      <c r="W27" s="165"/>
      <c r="X27" s="165"/>
      <c r="Y27" s="41"/>
      <c r="Z27" s="167"/>
      <c r="AA27" s="219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24"/>
      <c r="AM27" s="243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44"/>
      <c r="AY27" s="363"/>
      <c r="AZ27" s="235"/>
      <c r="BA27" s="351"/>
      <c r="BB27" s="361"/>
      <c r="BC27" s="235"/>
      <c r="BD27" s="235"/>
      <c r="BE27" s="235"/>
      <c r="BF27" s="235"/>
      <c r="BG27" s="235"/>
      <c r="BH27" s="235"/>
      <c r="BI27" s="235"/>
      <c r="BJ27" s="244"/>
      <c r="BK27" s="363"/>
      <c r="BL27" s="235"/>
      <c r="BM27" s="351"/>
      <c r="BN27" s="350"/>
      <c r="BO27" s="235"/>
      <c r="BP27" s="254"/>
      <c r="BQ27" s="235"/>
      <c r="BR27" s="235"/>
      <c r="BS27" s="235"/>
      <c r="BT27" s="235"/>
      <c r="BU27" s="235"/>
      <c r="BV27" s="244"/>
      <c r="BW27" s="235"/>
      <c r="BX27" s="235"/>
      <c r="BY27" s="235"/>
      <c r="BZ27" s="235"/>
      <c r="CA27" s="235"/>
      <c r="CB27" s="235"/>
      <c r="CC27" s="235"/>
      <c r="CD27" s="254"/>
      <c r="CE27" s="235"/>
      <c r="CF27" s="235"/>
      <c r="CG27" s="235"/>
      <c r="CH27" s="244"/>
      <c r="CI27" s="351"/>
      <c r="CJ27" s="235"/>
      <c r="CK27" s="235"/>
      <c r="CL27" s="254" t="s">
        <v>1377</v>
      </c>
      <c r="CM27" s="235"/>
      <c r="CN27" s="235"/>
      <c r="CO27" s="235"/>
      <c r="CP27" s="254"/>
      <c r="CQ27" s="235"/>
      <c r="CR27" s="235"/>
      <c r="CS27" s="235"/>
      <c r="CT27" s="235"/>
    </row>
    <row r="28" spans="1:98" x14ac:dyDescent="0.25">
      <c r="A28" s="775"/>
      <c r="B28" s="262">
        <v>24</v>
      </c>
      <c r="C28" s="283" t="s">
        <v>513</v>
      </c>
      <c r="D28" s="269" t="s">
        <v>138</v>
      </c>
      <c r="E28" s="31"/>
      <c r="F28" s="21"/>
      <c r="G28" s="21"/>
      <c r="H28" s="21"/>
      <c r="I28" s="21"/>
      <c r="J28" s="46"/>
      <c r="K28" s="21"/>
      <c r="L28" s="21"/>
      <c r="M28" s="21"/>
      <c r="N28" s="32"/>
      <c r="O28" s="164"/>
      <c r="P28" s="165"/>
      <c r="Q28" s="165"/>
      <c r="R28" s="165"/>
      <c r="S28" s="165"/>
      <c r="T28" s="165"/>
      <c r="U28" s="165"/>
      <c r="V28" s="165"/>
      <c r="W28" s="165"/>
      <c r="X28" s="165"/>
      <c r="Y28" s="41"/>
      <c r="Z28" s="167"/>
      <c r="AA28" s="219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24"/>
      <c r="AM28" s="243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44"/>
      <c r="AY28" s="363"/>
      <c r="AZ28" s="235"/>
      <c r="BA28" s="351"/>
      <c r="BB28" s="361"/>
      <c r="BC28" s="235"/>
      <c r="BD28" s="235"/>
      <c r="BE28" s="235"/>
      <c r="BF28" s="235"/>
      <c r="BG28" s="235"/>
      <c r="BH28" s="235"/>
      <c r="BI28" s="235"/>
      <c r="BJ28" s="244"/>
      <c r="BK28" s="363"/>
      <c r="BL28" s="235"/>
      <c r="BM28" s="351"/>
      <c r="BN28" s="350"/>
      <c r="BO28" s="235"/>
      <c r="BP28" s="254"/>
      <c r="BQ28" s="235"/>
      <c r="BR28" s="235"/>
      <c r="BS28" s="235"/>
      <c r="BT28" s="235"/>
      <c r="BU28" s="235"/>
      <c r="BV28" s="244"/>
      <c r="BW28" s="235"/>
      <c r="BX28" s="235"/>
      <c r="BY28" s="235"/>
      <c r="BZ28" s="235"/>
      <c r="CA28" s="235"/>
      <c r="CB28" s="235"/>
      <c r="CC28" s="235"/>
      <c r="CD28" s="254"/>
      <c r="CE28" s="235"/>
      <c r="CF28" s="235"/>
      <c r="CG28" s="235"/>
      <c r="CH28" s="244"/>
      <c r="CI28" s="351"/>
      <c r="CJ28" s="235"/>
      <c r="CK28" s="235"/>
      <c r="CL28" s="235"/>
      <c r="CM28" s="235"/>
      <c r="CN28" s="235"/>
      <c r="CO28" s="235"/>
      <c r="CP28" s="254"/>
      <c r="CQ28" s="235"/>
      <c r="CR28" s="235"/>
      <c r="CS28" s="235"/>
      <c r="CT28" s="235"/>
    </row>
    <row r="29" spans="1:98" x14ac:dyDescent="0.25">
      <c r="A29" s="775"/>
      <c r="B29" s="262">
        <v>25</v>
      </c>
      <c r="C29" s="283" t="s">
        <v>514</v>
      </c>
      <c r="D29" s="269" t="s">
        <v>139</v>
      </c>
      <c r="E29" s="31"/>
      <c r="F29" s="21"/>
      <c r="G29" s="21"/>
      <c r="H29" s="21"/>
      <c r="I29" s="21"/>
      <c r="J29" s="46"/>
      <c r="K29" s="21"/>
      <c r="L29" s="21"/>
      <c r="M29" s="21"/>
      <c r="N29" s="32"/>
      <c r="O29" s="164"/>
      <c r="P29" s="165"/>
      <c r="Q29" s="165"/>
      <c r="R29" s="165"/>
      <c r="S29" s="165"/>
      <c r="T29" s="165"/>
      <c r="U29" s="165"/>
      <c r="V29" s="165"/>
      <c r="W29" s="165"/>
      <c r="X29" s="165"/>
      <c r="Y29" s="41"/>
      <c r="Z29" s="167"/>
      <c r="AA29" s="219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24"/>
      <c r="AM29" s="243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44"/>
      <c r="AY29" s="363"/>
      <c r="AZ29" s="235"/>
      <c r="BA29" s="351"/>
      <c r="BB29" s="361"/>
      <c r="BC29" s="235"/>
      <c r="BD29" s="235"/>
      <c r="BE29" s="235"/>
      <c r="BF29" s="235"/>
      <c r="BG29" s="235"/>
      <c r="BH29" s="235"/>
      <c r="BI29" s="235"/>
      <c r="BJ29" s="244"/>
      <c r="BK29" s="363"/>
      <c r="BL29" s="235"/>
      <c r="BM29" s="351"/>
      <c r="BN29" s="350"/>
      <c r="BO29" s="235"/>
      <c r="BP29" s="254"/>
      <c r="BQ29" s="235"/>
      <c r="BR29" s="235"/>
      <c r="BS29" s="235"/>
      <c r="BT29" s="235"/>
      <c r="BU29" s="235"/>
      <c r="BV29" s="244"/>
      <c r="BW29" s="235"/>
      <c r="BX29" s="235"/>
      <c r="BY29" s="235"/>
      <c r="BZ29" s="235"/>
      <c r="CA29" s="235"/>
      <c r="CB29" s="235"/>
      <c r="CC29" s="235"/>
      <c r="CD29" s="254"/>
      <c r="CE29" s="235"/>
      <c r="CF29" s="235"/>
      <c r="CG29" s="235"/>
      <c r="CH29" s="244"/>
      <c r="CI29" s="351"/>
      <c r="CJ29" s="235"/>
      <c r="CK29" s="235"/>
      <c r="CL29" s="235"/>
      <c r="CM29" s="235"/>
      <c r="CN29" s="235"/>
      <c r="CO29" s="235"/>
      <c r="CP29" s="254"/>
      <c r="CQ29" s="235"/>
      <c r="CR29" s="235"/>
      <c r="CS29" s="235"/>
      <c r="CT29" s="235"/>
    </row>
    <row r="30" spans="1:98" x14ac:dyDescent="0.25">
      <c r="A30" s="775"/>
      <c r="B30" s="262">
        <v>26</v>
      </c>
      <c r="C30" s="283" t="s">
        <v>515</v>
      </c>
      <c r="D30" s="269" t="s">
        <v>140</v>
      </c>
      <c r="E30" s="31"/>
      <c r="F30" s="21"/>
      <c r="G30" s="21"/>
      <c r="H30" s="21"/>
      <c r="I30" s="21"/>
      <c r="J30" s="46"/>
      <c r="K30" s="21"/>
      <c r="L30" s="21"/>
      <c r="M30" s="21"/>
      <c r="N30" s="32"/>
      <c r="O30" s="164"/>
      <c r="P30" s="165"/>
      <c r="Q30" s="165"/>
      <c r="R30" s="165"/>
      <c r="S30" s="165"/>
      <c r="T30" s="165"/>
      <c r="U30" s="165"/>
      <c r="V30" s="165"/>
      <c r="W30" s="165"/>
      <c r="X30" s="165"/>
      <c r="Y30" s="41"/>
      <c r="Z30" s="167"/>
      <c r="AA30" s="219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24"/>
      <c r="AM30" s="243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44"/>
      <c r="AY30" s="363"/>
      <c r="AZ30" s="235"/>
      <c r="BA30" s="351"/>
      <c r="BB30" s="361"/>
      <c r="BC30" s="235"/>
      <c r="BD30" s="235"/>
      <c r="BE30" s="235"/>
      <c r="BF30" s="235"/>
      <c r="BG30" s="235"/>
      <c r="BH30" s="235"/>
      <c r="BI30" s="235"/>
      <c r="BJ30" s="244"/>
      <c r="BK30" s="363"/>
      <c r="BL30" s="235"/>
      <c r="BM30" s="351"/>
      <c r="BN30" s="350"/>
      <c r="BO30" s="235"/>
      <c r="BP30" s="254"/>
      <c r="BQ30" s="235"/>
      <c r="BR30" s="235"/>
      <c r="BS30" s="235"/>
      <c r="BT30" s="235"/>
      <c r="BU30" s="235"/>
      <c r="BV30" s="244"/>
      <c r="BW30" s="235"/>
      <c r="BX30" s="235"/>
      <c r="BY30" s="235"/>
      <c r="BZ30" s="235"/>
      <c r="CA30" s="235"/>
      <c r="CB30" s="254"/>
      <c r="CC30" s="235"/>
      <c r="CD30" s="235"/>
      <c r="CE30" s="235"/>
      <c r="CF30" s="254"/>
      <c r="CG30" s="235"/>
      <c r="CH30" s="244"/>
      <c r="CI30" s="351"/>
      <c r="CJ30" s="235"/>
      <c r="CK30" s="235"/>
      <c r="CL30" s="235"/>
      <c r="CM30" s="235"/>
      <c r="CN30" s="259"/>
      <c r="CO30" s="235"/>
      <c r="CP30" s="235"/>
      <c r="CQ30" s="235"/>
      <c r="CR30" s="254"/>
      <c r="CS30" s="235"/>
      <c r="CT30" s="235"/>
    </row>
    <row r="31" spans="1:98" ht="42" customHeight="1" x14ac:dyDescent="0.25">
      <c r="A31" s="775"/>
      <c r="B31" s="262">
        <v>27</v>
      </c>
      <c r="C31" s="283" t="s">
        <v>516</v>
      </c>
      <c r="D31" s="270" t="s">
        <v>141</v>
      </c>
      <c r="E31" s="31"/>
      <c r="F31" s="21"/>
      <c r="G31" s="21"/>
      <c r="H31" s="21"/>
      <c r="I31" s="21"/>
      <c r="J31" s="46"/>
      <c r="K31" s="21"/>
      <c r="L31" s="21"/>
      <c r="M31" s="21"/>
      <c r="N31" s="32"/>
      <c r="O31" s="164"/>
      <c r="P31" s="165"/>
      <c r="Q31" s="165"/>
      <c r="R31" s="165"/>
      <c r="S31" s="165"/>
      <c r="T31" s="165"/>
      <c r="U31" s="165"/>
      <c r="V31" s="165"/>
      <c r="W31" s="165"/>
      <c r="X31" s="165"/>
      <c r="Y31" s="41"/>
      <c r="Z31" s="167"/>
      <c r="AA31" s="219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24"/>
      <c r="AM31" s="243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44"/>
      <c r="AY31" s="363"/>
      <c r="AZ31" s="235"/>
      <c r="BA31" s="351"/>
      <c r="BB31" s="361"/>
      <c r="BC31" s="235"/>
      <c r="BD31" s="235"/>
      <c r="BE31" s="235"/>
      <c r="BF31" s="235"/>
      <c r="BG31" s="235"/>
      <c r="BH31" s="235"/>
      <c r="BI31" s="235"/>
      <c r="BJ31" s="244"/>
      <c r="BK31" s="363"/>
      <c r="BL31" s="235"/>
      <c r="BM31" s="351"/>
      <c r="BN31" s="350"/>
      <c r="BO31" s="235"/>
      <c r="BP31" s="235"/>
      <c r="BQ31" s="235"/>
      <c r="BR31" s="254"/>
      <c r="BS31" s="235"/>
      <c r="BT31" s="235"/>
      <c r="BU31" s="235"/>
      <c r="BV31" s="244"/>
      <c r="BW31" s="235"/>
      <c r="BX31" s="235"/>
      <c r="BY31" s="235"/>
      <c r="BZ31" s="235"/>
      <c r="CA31" s="235"/>
      <c r="CB31" s="235"/>
      <c r="CC31" s="235"/>
      <c r="CD31" s="235"/>
      <c r="CE31" s="254"/>
      <c r="CF31" s="235"/>
      <c r="CG31" s="235"/>
      <c r="CH31" s="244"/>
      <c r="CI31" s="351"/>
      <c r="CJ31" s="235"/>
      <c r="CK31" s="235"/>
      <c r="CL31" s="235"/>
      <c r="CM31" s="235"/>
      <c r="CN31" s="235"/>
      <c r="CO31" s="235"/>
      <c r="CP31" s="235"/>
      <c r="CQ31" s="254"/>
      <c r="CR31" s="235"/>
      <c r="CS31" s="235"/>
      <c r="CT31" s="235"/>
    </row>
    <row r="32" spans="1:98" x14ac:dyDescent="0.25">
      <c r="A32" s="775"/>
      <c r="B32" s="262">
        <v>28</v>
      </c>
      <c r="C32" s="283" t="s">
        <v>517</v>
      </c>
      <c r="D32" s="270" t="s">
        <v>142</v>
      </c>
      <c r="E32" s="31"/>
      <c r="F32" s="21"/>
      <c r="G32" s="21"/>
      <c r="H32" s="21"/>
      <c r="I32" s="21"/>
      <c r="J32" s="46"/>
      <c r="K32" s="21"/>
      <c r="L32" s="21"/>
      <c r="M32" s="21"/>
      <c r="N32" s="32"/>
      <c r="O32" s="164"/>
      <c r="P32" s="165"/>
      <c r="Q32" s="165"/>
      <c r="R32" s="165"/>
      <c r="S32" s="165"/>
      <c r="T32" s="165"/>
      <c r="U32" s="165"/>
      <c r="V32" s="165"/>
      <c r="W32" s="165"/>
      <c r="X32" s="165"/>
      <c r="Y32" s="41"/>
      <c r="Z32" s="167"/>
      <c r="AA32" s="219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24"/>
      <c r="AM32" s="243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44"/>
      <c r="AY32" s="363"/>
      <c r="AZ32" s="235"/>
      <c r="BA32" s="351"/>
      <c r="BB32" s="361"/>
      <c r="BC32" s="235"/>
      <c r="BD32" s="235"/>
      <c r="BE32" s="235"/>
      <c r="BF32" s="235"/>
      <c r="BG32" s="235"/>
      <c r="BH32" s="235"/>
      <c r="BI32" s="235"/>
      <c r="BJ32" s="244"/>
      <c r="BK32" s="363"/>
      <c r="BL32" s="235"/>
      <c r="BM32" s="351"/>
      <c r="BN32" s="350"/>
      <c r="BO32" s="235"/>
      <c r="BP32" s="235"/>
      <c r="BQ32" s="235"/>
      <c r="BR32" s="254"/>
      <c r="BS32" s="235"/>
      <c r="BT32" s="235"/>
      <c r="BU32" s="235"/>
      <c r="BV32" s="244"/>
      <c r="BW32" s="235"/>
      <c r="BX32" s="235"/>
      <c r="BY32" s="235"/>
      <c r="BZ32" s="235"/>
      <c r="CA32" s="235"/>
      <c r="CB32" s="235"/>
      <c r="CC32" s="235"/>
      <c r="CD32" s="235"/>
      <c r="CE32" s="254"/>
      <c r="CF32" s="235"/>
      <c r="CG32" s="235"/>
      <c r="CH32" s="244"/>
      <c r="CI32" s="351"/>
      <c r="CJ32" s="235"/>
      <c r="CK32" s="235"/>
      <c r="CL32" s="235"/>
      <c r="CM32" s="235"/>
      <c r="CN32" s="235"/>
      <c r="CO32" s="235"/>
      <c r="CP32" s="235"/>
      <c r="CQ32" s="254"/>
      <c r="CR32" s="235"/>
      <c r="CS32" s="235"/>
      <c r="CT32" s="235"/>
    </row>
    <row r="33" spans="1:98" x14ac:dyDescent="0.25">
      <c r="A33" s="775"/>
      <c r="B33" s="262">
        <v>29</v>
      </c>
      <c r="C33" s="283" t="s">
        <v>518</v>
      </c>
      <c r="D33" s="270" t="s">
        <v>143</v>
      </c>
      <c r="E33" s="31"/>
      <c r="F33" s="21"/>
      <c r="G33" s="21"/>
      <c r="H33" s="21"/>
      <c r="I33" s="21"/>
      <c r="J33" s="46"/>
      <c r="K33" s="21"/>
      <c r="L33" s="21"/>
      <c r="M33" s="21"/>
      <c r="N33" s="32"/>
      <c r="O33" s="164"/>
      <c r="P33" s="165"/>
      <c r="Q33" s="165"/>
      <c r="R33" s="165"/>
      <c r="S33" s="165"/>
      <c r="T33" s="165"/>
      <c r="U33" s="165"/>
      <c r="V33" s="165"/>
      <c r="W33" s="165"/>
      <c r="X33" s="165"/>
      <c r="Y33" s="41"/>
      <c r="Z33" s="167"/>
      <c r="AA33" s="219"/>
      <c r="AB33" s="208"/>
      <c r="AC33" s="208"/>
      <c r="AD33" s="208"/>
      <c r="AE33" s="208"/>
      <c r="AF33" s="208"/>
      <c r="AG33" s="208"/>
      <c r="AH33" s="208"/>
      <c r="AI33" s="208"/>
      <c r="AJ33" s="208"/>
      <c r="AK33" s="208"/>
      <c r="AL33" s="224"/>
      <c r="AM33" s="243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44"/>
      <c r="AY33" s="363"/>
      <c r="AZ33" s="235"/>
      <c r="BA33" s="351"/>
      <c r="BB33" s="361"/>
      <c r="BC33" s="235"/>
      <c r="BD33" s="235"/>
      <c r="BE33" s="235"/>
      <c r="BF33" s="235"/>
      <c r="BG33" s="235"/>
      <c r="BH33" s="235"/>
      <c r="BI33" s="235"/>
      <c r="BJ33" s="244"/>
      <c r="BK33" s="363"/>
      <c r="BL33" s="235"/>
      <c r="BM33" s="351"/>
      <c r="BN33" s="350"/>
      <c r="BO33" s="235"/>
      <c r="BP33" s="235"/>
      <c r="BQ33" s="235"/>
      <c r="BR33" s="254"/>
      <c r="BS33" s="235"/>
      <c r="BT33" s="235"/>
      <c r="BU33" s="235"/>
      <c r="BV33" s="244"/>
      <c r="BW33" s="235"/>
      <c r="BX33" s="235"/>
      <c r="BY33" s="235"/>
      <c r="BZ33" s="235"/>
      <c r="CA33" s="235"/>
      <c r="CB33" s="235"/>
      <c r="CC33" s="235"/>
      <c r="CD33" s="235"/>
      <c r="CE33" s="254"/>
      <c r="CF33" s="235"/>
      <c r="CG33" s="235"/>
      <c r="CH33" s="244"/>
      <c r="CI33" s="351"/>
      <c r="CJ33" s="235"/>
      <c r="CK33" s="235"/>
      <c r="CL33" s="235"/>
      <c r="CM33" s="235"/>
      <c r="CN33" s="235"/>
      <c r="CO33" s="235"/>
      <c r="CP33" s="235"/>
      <c r="CQ33" s="254"/>
      <c r="CR33" s="235"/>
      <c r="CS33" s="235"/>
      <c r="CT33" s="235"/>
    </row>
    <row r="34" spans="1:98" x14ac:dyDescent="0.25">
      <c r="A34" s="775"/>
      <c r="B34" s="262">
        <v>30</v>
      </c>
      <c r="C34" s="283" t="s">
        <v>519</v>
      </c>
      <c r="D34" s="270" t="s">
        <v>144</v>
      </c>
      <c r="E34" s="31"/>
      <c r="F34" s="21"/>
      <c r="G34" s="21"/>
      <c r="H34" s="21"/>
      <c r="I34" s="21"/>
      <c r="J34" s="46"/>
      <c r="K34" s="21"/>
      <c r="L34" s="21"/>
      <c r="M34" s="21"/>
      <c r="N34" s="32"/>
      <c r="O34" s="164"/>
      <c r="P34" s="165"/>
      <c r="Q34" s="165"/>
      <c r="R34" s="165"/>
      <c r="S34" s="165"/>
      <c r="T34" s="165"/>
      <c r="U34" s="165"/>
      <c r="V34" s="165"/>
      <c r="W34" s="165"/>
      <c r="X34" s="165"/>
      <c r="Y34" s="41"/>
      <c r="Z34" s="167"/>
      <c r="AA34" s="219"/>
      <c r="AB34" s="208"/>
      <c r="AC34" s="208"/>
      <c r="AD34" s="208"/>
      <c r="AE34" s="208"/>
      <c r="AF34" s="208"/>
      <c r="AG34" s="208"/>
      <c r="AH34" s="208"/>
      <c r="AI34" s="208"/>
      <c r="AJ34" s="208"/>
      <c r="AK34" s="208"/>
      <c r="AL34" s="224"/>
      <c r="AM34" s="243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44"/>
      <c r="AY34" s="363"/>
      <c r="AZ34" s="235"/>
      <c r="BA34" s="351"/>
      <c r="BB34" s="361"/>
      <c r="BC34" s="235"/>
      <c r="BD34" s="235"/>
      <c r="BE34" s="235"/>
      <c r="BF34" s="235"/>
      <c r="BG34" s="235"/>
      <c r="BH34" s="235"/>
      <c r="BI34" s="235"/>
      <c r="BJ34" s="244"/>
      <c r="BK34" s="363"/>
      <c r="BL34" s="235"/>
      <c r="BM34" s="351"/>
      <c r="BN34" s="350"/>
      <c r="BO34" s="235"/>
      <c r="BP34" s="235"/>
      <c r="BQ34" s="235"/>
      <c r="BR34" s="254"/>
      <c r="BS34" s="235"/>
      <c r="BT34" s="235"/>
      <c r="BU34" s="235"/>
      <c r="BV34" s="244"/>
      <c r="BW34" s="235"/>
      <c r="BX34" s="235"/>
      <c r="BY34" s="235"/>
      <c r="BZ34" s="235"/>
      <c r="CA34" s="235"/>
      <c r="CB34" s="235"/>
      <c r="CC34" s="235"/>
      <c r="CD34" s="235"/>
      <c r="CE34" s="254"/>
      <c r="CF34" s="235"/>
      <c r="CG34" s="235"/>
      <c r="CH34" s="244"/>
      <c r="CI34" s="351"/>
      <c r="CJ34" s="235"/>
      <c r="CK34" s="235"/>
      <c r="CL34" s="235"/>
      <c r="CM34" s="235"/>
      <c r="CN34" s="235"/>
      <c r="CO34" s="235"/>
      <c r="CP34" s="235"/>
      <c r="CQ34" s="254"/>
      <c r="CR34" s="235"/>
      <c r="CS34" s="235"/>
      <c r="CT34" s="235"/>
    </row>
    <row r="35" spans="1:98" x14ac:dyDescent="0.25">
      <c r="A35" s="775"/>
      <c r="B35" s="262">
        <v>31</v>
      </c>
      <c r="C35" s="283" t="s">
        <v>520</v>
      </c>
      <c r="D35" s="270" t="s">
        <v>400</v>
      </c>
      <c r="E35" s="31"/>
      <c r="F35" s="21"/>
      <c r="G35" s="21"/>
      <c r="H35" s="21"/>
      <c r="I35" s="21"/>
      <c r="J35" s="46"/>
      <c r="K35" s="21"/>
      <c r="L35" s="21"/>
      <c r="M35" s="21"/>
      <c r="N35" s="32"/>
      <c r="O35" s="164"/>
      <c r="P35" s="165"/>
      <c r="Q35" s="165"/>
      <c r="R35" s="165"/>
      <c r="S35" s="165"/>
      <c r="T35" s="165"/>
      <c r="U35" s="165"/>
      <c r="V35" s="165"/>
      <c r="W35" s="165"/>
      <c r="X35" s="165"/>
      <c r="Y35" s="23"/>
      <c r="Z35" s="167"/>
      <c r="AA35" s="219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55"/>
      <c r="AM35" s="243"/>
      <c r="AN35" s="235"/>
      <c r="AO35" s="254"/>
      <c r="AP35" s="235"/>
      <c r="AQ35" s="235"/>
      <c r="AR35" s="235"/>
      <c r="AS35" s="235"/>
      <c r="AT35" s="235"/>
      <c r="AU35" s="235"/>
      <c r="AV35" s="235"/>
      <c r="AW35" s="235"/>
      <c r="AY35" s="243"/>
      <c r="AZ35" s="235"/>
      <c r="BA35" s="350"/>
      <c r="BB35" s="361"/>
      <c r="BD35" s="235"/>
      <c r="BE35" s="235"/>
      <c r="BF35" s="235"/>
      <c r="BG35" s="235"/>
      <c r="BH35" s="235"/>
      <c r="BI35" s="235"/>
      <c r="BJ35" s="244"/>
      <c r="BK35" s="243"/>
      <c r="BL35" s="235"/>
      <c r="BM35" s="350"/>
      <c r="BN35" s="350"/>
      <c r="BO35" s="235"/>
      <c r="BP35" s="235"/>
      <c r="BQ35" s="235"/>
      <c r="BR35" s="254"/>
      <c r="BS35" s="235"/>
      <c r="BT35" s="235"/>
      <c r="BU35" s="235"/>
      <c r="BV35" s="244"/>
      <c r="BW35" s="235"/>
      <c r="BX35" s="235"/>
      <c r="BY35" s="235"/>
      <c r="BZ35" s="235"/>
      <c r="CA35" s="235"/>
      <c r="CB35" s="235"/>
      <c r="CC35" s="235"/>
      <c r="CD35" s="235"/>
      <c r="CE35" s="259"/>
      <c r="CF35" s="235"/>
      <c r="CG35" s="254"/>
      <c r="CH35" s="244"/>
      <c r="CI35" s="351"/>
      <c r="CJ35" s="235"/>
      <c r="CK35" s="235"/>
      <c r="CL35" s="235"/>
      <c r="CM35" s="235"/>
      <c r="CN35" s="235"/>
      <c r="CO35" s="235"/>
      <c r="CP35" s="235"/>
      <c r="CQ35" s="233"/>
      <c r="CR35" s="235"/>
      <c r="CS35" s="235"/>
      <c r="CT35" s="235"/>
    </row>
    <row r="36" spans="1:98" x14ac:dyDescent="0.25">
      <c r="A36" s="775"/>
      <c r="B36" s="262">
        <v>32</v>
      </c>
      <c r="C36" s="283" t="s">
        <v>521</v>
      </c>
      <c r="D36" s="270" t="s">
        <v>145</v>
      </c>
      <c r="E36" s="53"/>
      <c r="F36" s="22"/>
      <c r="G36" s="22"/>
      <c r="H36" s="22"/>
      <c r="I36" s="22"/>
      <c r="J36" s="22"/>
      <c r="K36" s="22"/>
      <c r="L36" s="22"/>
      <c r="M36" s="22"/>
      <c r="N36" s="54"/>
      <c r="O36" s="164"/>
      <c r="P36" s="165"/>
      <c r="Q36" s="165"/>
      <c r="R36" s="165"/>
      <c r="S36" s="41"/>
      <c r="T36" s="165"/>
      <c r="U36" s="165"/>
      <c r="V36" s="165"/>
      <c r="W36" s="165"/>
      <c r="X36" s="165"/>
      <c r="Y36" s="165"/>
      <c r="Z36" s="167"/>
      <c r="AA36" s="219"/>
      <c r="AB36" s="208"/>
      <c r="AC36" s="208"/>
      <c r="AD36" s="208"/>
      <c r="AE36" s="208"/>
      <c r="AF36" s="208"/>
      <c r="AG36" s="41"/>
      <c r="AH36" s="208"/>
      <c r="AI36" s="208"/>
      <c r="AJ36" s="208"/>
      <c r="AK36" s="208"/>
      <c r="AL36" s="223"/>
      <c r="AM36" s="245"/>
      <c r="AN36" s="235"/>
      <c r="AO36" s="235"/>
      <c r="AP36" s="235"/>
      <c r="AQ36" s="235"/>
      <c r="AR36" s="254"/>
      <c r="AS36" s="235"/>
      <c r="AT36" s="235"/>
      <c r="AU36" s="235"/>
      <c r="AV36" s="254" t="s">
        <v>872</v>
      </c>
      <c r="AW36" s="235"/>
      <c r="AX36" s="244"/>
      <c r="AY36" s="243"/>
      <c r="AZ36" s="235"/>
      <c r="BA36" s="235"/>
      <c r="BB36" s="362"/>
      <c r="BC36" s="235"/>
      <c r="BD36" s="235"/>
      <c r="BE36" s="235"/>
      <c r="BF36" s="235"/>
      <c r="BG36" s="235"/>
      <c r="BH36" s="235"/>
      <c r="BI36" s="254"/>
      <c r="BJ36" s="244"/>
      <c r="BK36" s="243"/>
      <c r="BL36" s="235"/>
      <c r="BM36" s="235"/>
      <c r="BN36" s="362"/>
      <c r="BO36" s="235"/>
      <c r="BP36" s="235"/>
      <c r="BQ36" s="235"/>
      <c r="BR36" s="235"/>
      <c r="BS36" s="235"/>
      <c r="BT36" s="235"/>
      <c r="BU36" s="254"/>
      <c r="BV36" s="244"/>
      <c r="BW36" s="235"/>
      <c r="BX36" s="235"/>
      <c r="BY36" s="235"/>
      <c r="BZ36" s="235"/>
      <c r="CA36" s="254"/>
      <c r="CB36" s="235"/>
      <c r="CC36" s="235"/>
      <c r="CD36" s="235"/>
      <c r="CE36" s="235"/>
      <c r="CF36" s="235"/>
      <c r="CG36" s="259"/>
      <c r="CH36" s="244"/>
      <c r="CI36" s="351"/>
      <c r="CJ36" s="235"/>
      <c r="CK36" s="235"/>
      <c r="CL36" s="235"/>
      <c r="CM36" s="254"/>
      <c r="CN36" s="235"/>
      <c r="CO36" s="235"/>
      <c r="CP36" s="235"/>
      <c r="CQ36" s="235"/>
      <c r="CR36" s="235"/>
      <c r="CS36" s="233"/>
      <c r="CT36" s="235"/>
    </row>
    <row r="37" spans="1:98" x14ac:dyDescent="0.25">
      <c r="A37" s="775"/>
      <c r="B37" s="262">
        <v>33</v>
      </c>
      <c r="C37" s="283" t="s">
        <v>522</v>
      </c>
      <c r="D37" s="270" t="s">
        <v>146</v>
      </c>
      <c r="E37" s="53"/>
      <c r="F37" s="22"/>
      <c r="G37" s="22"/>
      <c r="H37" s="22"/>
      <c r="I37" s="22"/>
      <c r="J37" s="22"/>
      <c r="K37" s="22"/>
      <c r="L37" s="22"/>
      <c r="M37" s="22"/>
      <c r="N37" s="54"/>
      <c r="O37" s="164"/>
      <c r="P37" s="165"/>
      <c r="Q37" s="165"/>
      <c r="R37" s="165"/>
      <c r="S37" s="41"/>
      <c r="T37" s="165"/>
      <c r="U37" s="165"/>
      <c r="V37" s="165"/>
      <c r="W37" s="165"/>
      <c r="X37" s="165"/>
      <c r="Y37" s="165"/>
      <c r="Z37" s="167"/>
      <c r="AA37" s="219"/>
      <c r="AB37" s="208"/>
      <c r="AC37" s="208"/>
      <c r="AD37" s="208"/>
      <c r="AE37" s="208"/>
      <c r="AF37" s="208"/>
      <c r="AG37" s="41"/>
      <c r="AH37" s="208"/>
      <c r="AI37" s="208"/>
      <c r="AJ37" s="208"/>
      <c r="AK37" s="208"/>
      <c r="AL37" s="225"/>
      <c r="AM37" s="245"/>
      <c r="AN37" s="235"/>
      <c r="AO37" s="235"/>
      <c r="AP37" s="235"/>
      <c r="AR37" s="254"/>
      <c r="AS37" s="235"/>
      <c r="AT37" s="235"/>
      <c r="AU37" s="235"/>
      <c r="AV37" s="254" t="s">
        <v>872</v>
      </c>
      <c r="AW37" s="235"/>
      <c r="AX37" s="244"/>
      <c r="AY37" s="243"/>
      <c r="AZ37" s="235"/>
      <c r="BA37" s="235"/>
      <c r="BB37" s="235"/>
      <c r="BC37" s="235"/>
      <c r="BD37" s="235"/>
      <c r="BE37" s="235"/>
      <c r="BF37" s="235"/>
      <c r="BG37" s="235"/>
      <c r="BH37" s="235"/>
      <c r="BI37" s="254"/>
      <c r="BJ37" s="244"/>
      <c r="BK37" s="243"/>
      <c r="BL37" s="235"/>
      <c r="BM37" s="235"/>
      <c r="BN37" s="235"/>
      <c r="BO37" s="235"/>
      <c r="BP37" s="235"/>
      <c r="BQ37" s="235"/>
      <c r="BR37" s="235"/>
      <c r="BS37" s="235"/>
      <c r="BT37" s="235"/>
      <c r="BU37" s="254"/>
      <c r="BV37" s="244"/>
      <c r="BW37" s="235"/>
      <c r="BX37" s="235"/>
      <c r="BY37" s="235"/>
      <c r="BZ37" s="235"/>
      <c r="CA37" s="254"/>
      <c r="CB37" s="235"/>
      <c r="CC37" s="235"/>
      <c r="CD37" s="235"/>
      <c r="CE37" s="254"/>
      <c r="CF37" s="235"/>
      <c r="CG37" s="259"/>
      <c r="CH37" s="244"/>
      <c r="CI37" s="351"/>
      <c r="CJ37" s="235"/>
      <c r="CK37" s="235"/>
      <c r="CL37" s="235"/>
      <c r="CM37" s="254"/>
      <c r="CN37" s="235"/>
      <c r="CO37" s="235"/>
      <c r="CP37" s="235"/>
      <c r="CQ37" s="254"/>
      <c r="CR37" s="235"/>
      <c r="CS37" s="233"/>
      <c r="CT37" s="235"/>
    </row>
    <row r="38" spans="1:98" x14ac:dyDescent="0.25">
      <c r="A38" s="775"/>
      <c r="B38" s="262">
        <v>34</v>
      </c>
      <c r="C38" s="283" t="s">
        <v>523</v>
      </c>
      <c r="D38" s="270" t="s">
        <v>147</v>
      </c>
      <c r="E38" s="31"/>
      <c r="F38" s="21"/>
      <c r="G38" s="21"/>
      <c r="H38" s="21"/>
      <c r="I38" s="21"/>
      <c r="J38" s="21"/>
      <c r="K38" s="46"/>
      <c r="L38" s="21"/>
      <c r="M38" s="21"/>
      <c r="N38" s="32"/>
      <c r="O38" s="164"/>
      <c r="P38" s="165"/>
      <c r="Q38" s="165"/>
      <c r="R38" s="165"/>
      <c r="S38" s="165"/>
      <c r="T38" s="165"/>
      <c r="U38" s="165"/>
      <c r="V38" s="165"/>
      <c r="W38" s="165"/>
      <c r="X38" s="165"/>
      <c r="Y38" s="176"/>
      <c r="Z38" s="177"/>
      <c r="AA38" s="219"/>
      <c r="AB38" s="208"/>
      <c r="AC38" s="208"/>
      <c r="AD38" s="208"/>
      <c r="AE38" s="208"/>
      <c r="AF38" s="208"/>
      <c r="AG38" s="208"/>
      <c r="AH38" s="208"/>
      <c r="AI38" s="208"/>
      <c r="AJ38" s="208"/>
      <c r="AK38" s="208"/>
      <c r="AL38" s="224"/>
      <c r="AM38" s="243"/>
      <c r="AN38" s="246"/>
      <c r="AO38" s="235"/>
      <c r="AP38" s="235"/>
      <c r="AQ38" s="235"/>
      <c r="AR38" s="235"/>
      <c r="AS38" s="235"/>
      <c r="AT38" s="235"/>
      <c r="AU38" s="235"/>
      <c r="AV38" s="235"/>
      <c r="AW38" s="235"/>
      <c r="AX38" s="349"/>
      <c r="AY38" s="243"/>
      <c r="AZ38" s="235"/>
      <c r="BA38" s="235"/>
      <c r="BB38" s="235"/>
      <c r="BD38" s="235"/>
      <c r="BE38" s="235"/>
      <c r="BF38" s="235"/>
      <c r="BG38" s="235"/>
      <c r="BH38" s="235"/>
      <c r="BI38" s="235"/>
      <c r="BJ38" s="349"/>
      <c r="BK38" s="243"/>
      <c r="BL38" s="235"/>
      <c r="BM38" s="235"/>
      <c r="BN38" s="235"/>
      <c r="BO38" s="345"/>
      <c r="BP38" s="235"/>
      <c r="BQ38" s="235"/>
      <c r="BR38" s="235"/>
      <c r="BS38" s="235"/>
      <c r="BT38" s="254" t="s">
        <v>1109</v>
      </c>
      <c r="BU38" s="235"/>
      <c r="BV38" s="349"/>
      <c r="BW38" s="235"/>
      <c r="BX38" s="235"/>
      <c r="BY38" s="235"/>
      <c r="BZ38" s="235"/>
      <c r="CA38" s="254"/>
      <c r="CB38" s="235"/>
      <c r="CC38" s="235"/>
      <c r="CD38" s="235"/>
      <c r="CE38" s="235"/>
      <c r="CF38" s="235"/>
      <c r="CG38" s="235"/>
      <c r="CH38" s="244"/>
      <c r="CI38" s="351"/>
      <c r="CJ38" s="254" t="s">
        <v>713</v>
      </c>
      <c r="CK38" s="235"/>
      <c r="CL38" s="235"/>
      <c r="CM38" s="254" t="s">
        <v>1476</v>
      </c>
      <c r="CN38" s="235"/>
      <c r="CO38" s="235"/>
      <c r="CP38" s="235"/>
      <c r="CQ38" s="235"/>
      <c r="CR38" s="235"/>
      <c r="CS38" s="235"/>
      <c r="CT38" s="235"/>
    </row>
    <row r="39" spans="1:98" x14ac:dyDescent="0.25">
      <c r="A39" s="775"/>
      <c r="B39" s="262">
        <v>35</v>
      </c>
      <c r="C39" s="283" t="s">
        <v>524</v>
      </c>
      <c r="D39" s="270" t="s">
        <v>148</v>
      </c>
      <c r="E39" s="53"/>
      <c r="F39" s="22"/>
      <c r="G39" s="22"/>
      <c r="H39" s="22"/>
      <c r="I39" s="22"/>
      <c r="J39" s="22"/>
      <c r="K39" s="22"/>
      <c r="L39" s="22"/>
      <c r="M39" s="22"/>
      <c r="N39" s="54"/>
      <c r="O39" s="164"/>
      <c r="P39" s="165"/>
      <c r="Q39" s="165"/>
      <c r="R39" s="165"/>
      <c r="S39" s="41"/>
      <c r="T39" s="165"/>
      <c r="U39" s="165"/>
      <c r="V39" s="165"/>
      <c r="W39" s="165"/>
      <c r="X39" s="165"/>
      <c r="Y39" s="165"/>
      <c r="Z39" s="167"/>
      <c r="AA39" s="219"/>
      <c r="AB39" s="208"/>
      <c r="AC39" s="208"/>
      <c r="AD39" s="208"/>
      <c r="AE39" s="208"/>
      <c r="AF39" s="208"/>
      <c r="AG39" s="41"/>
      <c r="AH39" s="208"/>
      <c r="AI39" s="208"/>
      <c r="AJ39" s="208"/>
      <c r="AK39" s="208"/>
      <c r="AL39" s="223"/>
      <c r="AM39" s="243"/>
      <c r="AN39" s="235"/>
      <c r="AO39" s="235"/>
      <c r="AP39" s="235"/>
      <c r="AQ39" s="235"/>
      <c r="AR39" s="235"/>
      <c r="AS39" s="254"/>
      <c r="AT39" s="235"/>
      <c r="AU39" s="235"/>
      <c r="AV39" s="235"/>
      <c r="AW39" s="235"/>
      <c r="AX39" s="244"/>
      <c r="AY39" s="254"/>
      <c r="AZ39" s="235"/>
      <c r="BA39" s="235"/>
      <c r="BB39" s="235"/>
      <c r="BC39" s="235"/>
      <c r="BD39" s="235"/>
      <c r="BE39" s="235"/>
      <c r="BF39" s="235"/>
      <c r="BG39" s="235"/>
      <c r="BH39" s="235"/>
      <c r="BI39" s="235"/>
      <c r="BJ39" s="244"/>
      <c r="BK39" s="235"/>
      <c r="BL39" s="254"/>
      <c r="BM39" s="235"/>
      <c r="BN39" s="235"/>
      <c r="BO39" s="235"/>
      <c r="BP39" s="235"/>
      <c r="BQ39" s="235"/>
      <c r="BR39" s="235"/>
      <c r="BS39" s="235"/>
      <c r="BT39" s="235"/>
      <c r="BU39" s="235"/>
      <c r="BV39" s="244"/>
      <c r="BW39" s="235"/>
      <c r="BX39" s="254"/>
      <c r="BY39" s="235"/>
      <c r="BZ39" s="235"/>
      <c r="CA39" s="259"/>
      <c r="CB39" s="235"/>
      <c r="CC39" s="235"/>
      <c r="CD39" s="235"/>
      <c r="CE39" s="235"/>
      <c r="CF39" s="235"/>
      <c r="CG39" s="235"/>
      <c r="CH39" s="244"/>
      <c r="CI39" s="351"/>
      <c r="CJ39" s="259"/>
      <c r="CK39" s="235"/>
      <c r="CL39" s="254"/>
      <c r="CM39" s="259"/>
      <c r="CN39" s="235"/>
      <c r="CO39" s="235"/>
      <c r="CP39" s="235"/>
      <c r="CQ39" s="235"/>
      <c r="CR39" s="235"/>
      <c r="CS39" s="235"/>
      <c r="CT39" s="235"/>
    </row>
    <row r="40" spans="1:98" x14ac:dyDescent="0.25">
      <c r="A40" s="775"/>
      <c r="B40" s="262">
        <v>36</v>
      </c>
      <c r="C40" s="283" t="s">
        <v>525</v>
      </c>
      <c r="D40" s="270" t="s">
        <v>149</v>
      </c>
      <c r="E40" s="31"/>
      <c r="F40" s="21"/>
      <c r="G40" s="21"/>
      <c r="H40" s="21"/>
      <c r="I40" s="21"/>
      <c r="J40" s="21"/>
      <c r="K40" s="21"/>
      <c r="L40" s="21"/>
      <c r="M40" s="21"/>
      <c r="N40" s="32"/>
      <c r="O40" s="164"/>
      <c r="P40" s="165"/>
      <c r="Q40" s="165"/>
      <c r="R40" s="165"/>
      <c r="S40" s="41"/>
      <c r="T40" s="165"/>
      <c r="U40" s="165"/>
      <c r="V40" s="165"/>
      <c r="W40" s="165"/>
      <c r="X40" s="165"/>
      <c r="Y40" s="165"/>
      <c r="Z40" s="167"/>
      <c r="AA40" s="219"/>
      <c r="AB40" s="208"/>
      <c r="AC40" s="220"/>
      <c r="AD40" s="208"/>
      <c r="AE40" s="208"/>
      <c r="AF40" s="208"/>
      <c r="AG40" s="41"/>
      <c r="AH40" s="208"/>
      <c r="AI40" s="208"/>
      <c r="AJ40" s="208"/>
      <c r="AK40" s="208"/>
      <c r="AL40" s="223"/>
      <c r="AM40" s="243"/>
      <c r="AN40" s="235"/>
      <c r="AO40" s="246"/>
      <c r="AP40" s="246"/>
      <c r="AQ40" s="235"/>
      <c r="AR40" s="235"/>
      <c r="AS40" s="254"/>
      <c r="AT40" s="235"/>
      <c r="AU40" s="235"/>
      <c r="AV40" s="235"/>
      <c r="AW40" s="235"/>
      <c r="AX40" s="244"/>
      <c r="AY40" s="254"/>
      <c r="AZ40" s="235"/>
      <c r="BA40" s="246"/>
      <c r="BB40" s="235"/>
      <c r="BC40" s="351"/>
      <c r="BD40" s="235"/>
      <c r="BE40" s="235"/>
      <c r="BF40" s="235"/>
      <c r="BG40" s="235"/>
      <c r="BH40" s="235"/>
      <c r="BI40" s="235"/>
      <c r="BJ40" s="244"/>
      <c r="BK40" s="235"/>
      <c r="BL40" s="254"/>
      <c r="BM40" s="246"/>
      <c r="BN40" s="235"/>
      <c r="BO40" s="351"/>
      <c r="BP40" s="235"/>
      <c r="BQ40" s="235"/>
      <c r="BR40" s="235"/>
      <c r="BS40" s="235"/>
      <c r="BT40" s="235"/>
      <c r="BU40" s="235"/>
      <c r="BV40" s="244"/>
      <c r="BW40" s="235"/>
      <c r="BX40" s="254"/>
      <c r="BY40" s="235"/>
      <c r="BZ40" s="235"/>
      <c r="CA40" s="259"/>
      <c r="CB40" s="235"/>
      <c r="CC40" s="235"/>
      <c r="CD40" s="235"/>
      <c r="CE40" s="235"/>
      <c r="CF40" s="235"/>
      <c r="CG40" s="235"/>
      <c r="CH40" s="244"/>
      <c r="CI40" s="351"/>
      <c r="CJ40" s="259"/>
      <c r="CK40" s="235"/>
      <c r="CL40" s="254"/>
      <c r="CM40" s="259"/>
      <c r="CN40" s="235"/>
      <c r="CO40" s="235"/>
      <c r="CP40" s="235"/>
      <c r="CQ40" s="235"/>
      <c r="CR40" s="235"/>
      <c r="CS40" s="235"/>
      <c r="CT40" s="235"/>
    </row>
    <row r="41" spans="1:98" x14ac:dyDescent="0.25">
      <c r="A41" s="775"/>
      <c r="B41" s="262">
        <v>37</v>
      </c>
      <c r="C41" s="283" t="s">
        <v>526</v>
      </c>
      <c r="D41" s="270" t="s">
        <v>150</v>
      </c>
      <c r="E41" s="53"/>
      <c r="F41" s="22"/>
      <c r="G41" s="22"/>
      <c r="H41" s="22"/>
      <c r="I41" s="22"/>
      <c r="J41" s="22"/>
      <c r="K41" s="22"/>
      <c r="L41" s="22"/>
      <c r="M41" s="22"/>
      <c r="N41" s="54"/>
      <c r="O41" s="164"/>
      <c r="P41" s="165"/>
      <c r="Q41" s="165"/>
      <c r="R41" s="165"/>
      <c r="S41" s="41"/>
      <c r="T41" s="165"/>
      <c r="U41" s="165"/>
      <c r="V41" s="165"/>
      <c r="W41" s="165"/>
      <c r="X41" s="165"/>
      <c r="Y41" s="165"/>
      <c r="Z41" s="167"/>
      <c r="AA41" s="219"/>
      <c r="AB41" s="208"/>
      <c r="AC41" s="208"/>
      <c r="AD41" s="208"/>
      <c r="AE41" s="208"/>
      <c r="AF41" s="208"/>
      <c r="AG41" s="41"/>
      <c r="AH41" s="208"/>
      <c r="AI41" s="208"/>
      <c r="AJ41" s="208"/>
      <c r="AK41" s="208"/>
      <c r="AL41" s="223"/>
      <c r="AM41" s="243"/>
      <c r="AN41" s="235"/>
      <c r="AO41" s="235"/>
      <c r="AP41" s="235"/>
      <c r="AQ41" s="235"/>
      <c r="AR41" s="235"/>
      <c r="AS41" s="254"/>
      <c r="AT41" s="235"/>
      <c r="AU41" s="235"/>
      <c r="AV41" s="235"/>
      <c r="AW41" s="235"/>
      <c r="AX41" s="244"/>
      <c r="AY41" s="254"/>
      <c r="AZ41" s="235"/>
      <c r="BA41" s="235"/>
      <c r="BB41" s="235"/>
      <c r="BC41" s="235"/>
      <c r="BD41" s="235"/>
      <c r="BE41" s="235"/>
      <c r="BF41" s="235"/>
      <c r="BG41" s="235"/>
      <c r="BH41" s="235"/>
      <c r="BI41" s="235"/>
      <c r="BJ41" s="244"/>
      <c r="BK41" s="235"/>
      <c r="BL41" s="254"/>
      <c r="BM41" s="235"/>
      <c r="BN41" s="235"/>
      <c r="BO41" s="235"/>
      <c r="BP41" s="235"/>
      <c r="BQ41" s="235"/>
      <c r="BR41" s="235"/>
      <c r="BS41" s="235"/>
      <c r="BT41" s="235"/>
      <c r="BU41" s="235"/>
      <c r="BV41" s="244"/>
      <c r="BW41" s="235"/>
      <c r="BX41" s="254"/>
      <c r="BY41" s="235"/>
      <c r="BZ41" s="235"/>
      <c r="CA41" s="259"/>
      <c r="CB41" s="235"/>
      <c r="CC41" s="235"/>
      <c r="CD41" s="235"/>
      <c r="CE41" s="235"/>
      <c r="CF41" s="235"/>
      <c r="CG41" s="235"/>
      <c r="CH41" s="244"/>
      <c r="CI41" s="351"/>
      <c r="CJ41" s="259"/>
      <c r="CK41" s="235"/>
      <c r="CL41" s="254"/>
      <c r="CM41" s="259"/>
      <c r="CN41" s="235"/>
      <c r="CO41" s="235"/>
      <c r="CP41" s="235"/>
      <c r="CQ41" s="235"/>
      <c r="CR41" s="235"/>
      <c r="CS41" s="235"/>
      <c r="CT41" s="235"/>
    </row>
    <row r="42" spans="1:98" x14ac:dyDescent="0.25">
      <c r="A42" s="775"/>
      <c r="B42" s="262">
        <v>38</v>
      </c>
      <c r="C42" s="283" t="s">
        <v>527</v>
      </c>
      <c r="D42" s="270" t="s">
        <v>151</v>
      </c>
      <c r="E42" s="53"/>
      <c r="F42" s="22"/>
      <c r="G42" s="22"/>
      <c r="H42" s="22"/>
      <c r="I42" s="22"/>
      <c r="J42" s="22"/>
      <c r="K42" s="22"/>
      <c r="L42" s="22"/>
      <c r="M42" s="22"/>
      <c r="N42" s="54"/>
      <c r="O42" s="164"/>
      <c r="P42" s="165"/>
      <c r="Q42" s="165"/>
      <c r="R42" s="165"/>
      <c r="S42" s="41"/>
      <c r="T42" s="165"/>
      <c r="U42" s="165"/>
      <c r="V42" s="165"/>
      <c r="W42" s="165"/>
      <c r="X42" s="165"/>
      <c r="Y42" s="165"/>
      <c r="Z42" s="167"/>
      <c r="AA42" s="219"/>
      <c r="AB42" s="208"/>
      <c r="AC42" s="208"/>
      <c r="AD42" s="208"/>
      <c r="AE42" s="208"/>
      <c r="AF42" s="208"/>
      <c r="AG42" s="41"/>
      <c r="AH42" s="208"/>
      <c r="AI42" s="208"/>
      <c r="AJ42" s="208"/>
      <c r="AK42" s="208"/>
      <c r="AL42" s="223"/>
      <c r="AM42" s="243"/>
      <c r="AN42" s="235"/>
      <c r="AO42" s="235"/>
      <c r="AP42" s="235"/>
      <c r="AQ42" s="235"/>
      <c r="AR42" s="235"/>
      <c r="AS42" s="254"/>
      <c r="AT42" s="235"/>
      <c r="AU42" s="235"/>
      <c r="AV42" s="235"/>
      <c r="AW42" s="235"/>
      <c r="AX42" s="244"/>
      <c r="AY42" s="254"/>
      <c r="AZ42" s="235"/>
      <c r="BA42" s="235"/>
      <c r="BB42" s="235"/>
      <c r="BC42" s="235"/>
      <c r="BD42" s="235"/>
      <c r="BE42" s="235"/>
      <c r="BF42" s="235"/>
      <c r="BG42" s="235"/>
      <c r="BH42" s="235"/>
      <c r="BI42" s="235"/>
      <c r="BJ42" s="244"/>
      <c r="BK42" s="235"/>
      <c r="BL42" s="254"/>
      <c r="BM42" s="235"/>
      <c r="BN42" s="235"/>
      <c r="BO42" s="235"/>
      <c r="BP42" s="235"/>
      <c r="BQ42" s="235"/>
      <c r="BR42" s="235"/>
      <c r="BS42" s="235"/>
      <c r="BT42" s="235"/>
      <c r="BU42" s="235"/>
      <c r="BV42" s="244"/>
      <c r="BW42" s="235"/>
      <c r="BX42" s="254"/>
      <c r="BY42" s="235"/>
      <c r="BZ42" s="235"/>
      <c r="CA42" s="259"/>
      <c r="CB42" s="235"/>
      <c r="CC42" s="235"/>
      <c r="CD42" s="235"/>
      <c r="CE42" s="235"/>
      <c r="CF42" s="235"/>
      <c r="CG42" s="235"/>
      <c r="CH42" s="244"/>
      <c r="CI42" s="351"/>
      <c r="CJ42" s="259"/>
      <c r="CK42" s="235"/>
      <c r="CL42" s="254"/>
      <c r="CM42" s="259"/>
      <c r="CN42" s="235"/>
      <c r="CO42" s="235"/>
      <c r="CP42" s="235"/>
      <c r="CQ42" s="235"/>
      <c r="CR42" s="235"/>
      <c r="CS42" s="235"/>
      <c r="CT42" s="235"/>
    </row>
    <row r="43" spans="1:98" x14ac:dyDescent="0.25">
      <c r="A43" s="775"/>
      <c r="B43" s="262">
        <v>39</v>
      </c>
      <c r="C43" s="283" t="s">
        <v>528</v>
      </c>
      <c r="D43" s="270" t="s">
        <v>152</v>
      </c>
      <c r="E43" s="53"/>
      <c r="F43" s="22"/>
      <c r="G43" s="22"/>
      <c r="H43" s="22"/>
      <c r="I43" s="22"/>
      <c r="J43" s="22"/>
      <c r="K43" s="22"/>
      <c r="L43" s="22"/>
      <c r="M43" s="22"/>
      <c r="N43" s="54"/>
      <c r="O43" s="164"/>
      <c r="P43" s="165"/>
      <c r="Q43" s="37"/>
      <c r="R43" s="165"/>
      <c r="S43" s="165"/>
      <c r="T43" s="165"/>
      <c r="U43" s="165"/>
      <c r="V43" s="165"/>
      <c r="W43" s="165"/>
      <c r="X43" s="165"/>
      <c r="Y43" s="165"/>
      <c r="Z43" s="167"/>
      <c r="AA43" s="116"/>
      <c r="AB43" s="208"/>
      <c r="AC43" s="208"/>
      <c r="AD43" s="208"/>
      <c r="AE43" s="208"/>
      <c r="AF43" s="208"/>
      <c r="AG43" s="208"/>
      <c r="AH43" s="208"/>
      <c r="AI43" s="208"/>
      <c r="AJ43" s="208"/>
      <c r="AK43" s="208"/>
      <c r="AL43" s="223"/>
      <c r="AM43" s="253"/>
      <c r="AO43" s="254"/>
      <c r="AP43" s="235"/>
      <c r="AQ43" s="235"/>
      <c r="AR43" s="235"/>
      <c r="AS43" s="235"/>
      <c r="AT43" s="235"/>
      <c r="AU43" s="235"/>
      <c r="AV43" s="235"/>
      <c r="AW43" s="235"/>
      <c r="AX43" s="244"/>
      <c r="AY43" s="253"/>
      <c r="AZ43" s="345"/>
      <c r="BA43" s="235"/>
      <c r="BD43" s="235"/>
      <c r="BE43" s="254"/>
      <c r="BF43" s="235"/>
      <c r="BG43" s="235"/>
      <c r="BH43" s="235"/>
      <c r="BI43" s="235"/>
      <c r="BJ43" s="244"/>
      <c r="BK43" s="235"/>
      <c r="BL43" s="345"/>
      <c r="BM43" s="235"/>
      <c r="BN43" s="235"/>
      <c r="BO43" s="345"/>
      <c r="BP43" s="235"/>
      <c r="BQ43" s="235"/>
      <c r="BS43" s="254"/>
      <c r="BT43" s="235"/>
      <c r="BU43" s="235"/>
      <c r="BV43" s="244"/>
      <c r="BW43" s="235"/>
      <c r="BX43" s="235"/>
      <c r="BY43" s="235"/>
      <c r="BZ43" s="235"/>
      <c r="CA43" s="254"/>
      <c r="CB43" s="235"/>
      <c r="CC43" s="235"/>
      <c r="CD43" s="235"/>
      <c r="CE43" s="259"/>
      <c r="CF43" s="235"/>
      <c r="CG43" s="235"/>
      <c r="CH43" s="244"/>
      <c r="CI43" s="351"/>
      <c r="CJ43" s="235"/>
      <c r="CK43" s="235"/>
      <c r="CL43" s="235"/>
      <c r="CM43" s="254"/>
      <c r="CN43" s="235"/>
      <c r="CO43" s="235"/>
      <c r="CP43" s="235"/>
      <c r="CQ43" s="259"/>
      <c r="CR43" s="235"/>
      <c r="CS43" s="235"/>
      <c r="CT43" s="235"/>
    </row>
    <row r="44" spans="1:98" x14ac:dyDescent="0.25">
      <c r="A44" s="775"/>
      <c r="B44" s="262">
        <v>40</v>
      </c>
      <c r="C44" s="283" t="s">
        <v>529</v>
      </c>
      <c r="D44" s="270" t="s">
        <v>304</v>
      </c>
      <c r="E44" s="31"/>
      <c r="F44" s="21"/>
      <c r="G44" s="21"/>
      <c r="H44" s="21"/>
      <c r="I44" s="21"/>
      <c r="J44" s="21"/>
      <c r="K44" s="21"/>
      <c r="L44" s="21"/>
      <c r="M44" s="21"/>
      <c r="N44" s="32"/>
      <c r="O44" s="43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7"/>
      <c r="AA44" s="219"/>
      <c r="AB44" s="116"/>
      <c r="AC44" s="208"/>
      <c r="AD44" s="208"/>
      <c r="AE44" s="208"/>
      <c r="AF44" s="208"/>
      <c r="AG44" s="208"/>
      <c r="AH44" s="208"/>
      <c r="AI44" s="208"/>
      <c r="AJ44" s="208"/>
      <c r="AK44" s="208"/>
      <c r="AL44" s="223"/>
      <c r="AM44" s="243"/>
      <c r="AN44" s="254"/>
      <c r="AO44" s="246"/>
      <c r="AP44" s="235"/>
      <c r="AQ44" s="235"/>
      <c r="AR44" s="235"/>
      <c r="AS44" s="235"/>
      <c r="AT44" s="235"/>
      <c r="AU44" s="235"/>
      <c r="AV44" s="235"/>
      <c r="AX44" s="244"/>
      <c r="AY44" s="252"/>
      <c r="AZ44" s="235"/>
      <c r="BA44" s="246"/>
      <c r="BB44" s="235"/>
      <c r="BC44" s="235"/>
      <c r="BD44" s="235"/>
      <c r="BE44" s="235"/>
      <c r="BF44" s="235"/>
      <c r="BG44" s="235"/>
      <c r="BH44" s="235"/>
      <c r="BI44" s="235"/>
      <c r="BJ44" s="244"/>
      <c r="BK44" s="349"/>
      <c r="BL44" s="235"/>
      <c r="BM44" s="246"/>
      <c r="BN44" s="235"/>
      <c r="BO44" s="235"/>
      <c r="BP44" s="235"/>
      <c r="BQ44" s="235"/>
      <c r="BR44" s="235"/>
      <c r="BS44" s="235"/>
      <c r="BT44" s="235"/>
      <c r="BU44" s="235"/>
      <c r="BV44" s="349"/>
      <c r="BW44" s="235"/>
      <c r="BX44" s="235"/>
      <c r="BY44" s="235"/>
      <c r="BZ44" s="235"/>
      <c r="CA44" s="235"/>
      <c r="CB44" s="235"/>
      <c r="CC44" s="235"/>
      <c r="CD44" s="235"/>
      <c r="CE44" s="254"/>
      <c r="CF44" s="235"/>
      <c r="CG44" s="235"/>
      <c r="CH44" s="244"/>
      <c r="CI44" s="351"/>
      <c r="CJ44" s="235"/>
      <c r="CK44" s="254" t="s">
        <v>1452</v>
      </c>
      <c r="CL44" s="235"/>
      <c r="CM44" s="235"/>
      <c r="CN44" s="235"/>
      <c r="CO44" s="235"/>
      <c r="CP44" s="235"/>
      <c r="CQ44" s="233"/>
      <c r="CR44" s="235"/>
      <c r="CS44" s="235"/>
      <c r="CT44" s="235"/>
    </row>
    <row r="45" spans="1:98" x14ac:dyDescent="0.25">
      <c r="A45" s="775"/>
      <c r="B45" s="262">
        <v>41</v>
      </c>
      <c r="C45" s="283" t="s">
        <v>530</v>
      </c>
      <c r="D45" s="270" t="s">
        <v>305</v>
      </c>
      <c r="E45" s="53"/>
      <c r="F45" s="22"/>
      <c r="G45" s="22"/>
      <c r="H45" s="22"/>
      <c r="I45" s="22"/>
      <c r="J45" s="22"/>
      <c r="K45" s="22"/>
      <c r="L45" s="22"/>
      <c r="M45" s="22"/>
      <c r="N45" s="54"/>
      <c r="O45" s="164"/>
      <c r="P45" s="165"/>
      <c r="Q45" s="172"/>
      <c r="R45" s="165"/>
      <c r="S45" s="41"/>
      <c r="T45" s="165"/>
      <c r="U45" s="165"/>
      <c r="V45" s="165"/>
      <c r="W45" s="165"/>
      <c r="X45" s="165"/>
      <c r="Y45" s="165"/>
      <c r="Z45" s="167"/>
      <c r="AA45" s="219"/>
      <c r="AB45" s="116"/>
      <c r="AC45" s="208"/>
      <c r="AD45" s="208"/>
      <c r="AE45" s="208"/>
      <c r="AF45" s="208"/>
      <c r="AG45" s="208"/>
      <c r="AH45" s="208"/>
      <c r="AI45" s="208"/>
      <c r="AJ45" s="208"/>
      <c r="AK45" s="208"/>
      <c r="AL45" s="223"/>
      <c r="AM45" s="243"/>
      <c r="AN45" s="254"/>
      <c r="AO45" s="235"/>
      <c r="AP45" s="235"/>
      <c r="AQ45" s="235"/>
      <c r="AR45" s="235"/>
      <c r="AS45" s="235"/>
      <c r="AT45" s="235"/>
      <c r="AU45" s="235"/>
      <c r="AV45" s="235"/>
      <c r="AW45" s="254"/>
      <c r="AX45" s="244"/>
      <c r="AY45" s="243"/>
      <c r="AZ45" s="235"/>
      <c r="BA45" s="254" t="s">
        <v>1024</v>
      </c>
      <c r="BB45" s="235"/>
      <c r="BC45" s="235"/>
      <c r="BD45" s="235"/>
      <c r="BE45" s="235"/>
      <c r="BF45" s="235"/>
      <c r="BG45" s="235"/>
      <c r="BH45" s="350"/>
      <c r="BI45" s="235"/>
      <c r="BJ45" s="244"/>
      <c r="BK45" s="349"/>
      <c r="BL45" s="235"/>
      <c r="BM45" s="235"/>
      <c r="BN45" s="235"/>
      <c r="BO45" s="235"/>
      <c r="BP45" s="235"/>
      <c r="BQ45" s="235"/>
      <c r="BR45" s="235"/>
      <c r="BS45" s="235"/>
      <c r="BT45" s="235"/>
      <c r="BU45" s="235"/>
      <c r="BV45" s="349"/>
      <c r="BW45" s="235"/>
      <c r="BX45" s="235"/>
      <c r="BY45" s="254"/>
      <c r="BZ45" s="235"/>
      <c r="CA45" s="235"/>
      <c r="CB45" s="235"/>
      <c r="CC45" s="235"/>
      <c r="CD45" s="235"/>
      <c r="CE45" s="235"/>
      <c r="CF45" s="235"/>
      <c r="CG45" s="235"/>
      <c r="CH45" s="244"/>
      <c r="CI45" s="351"/>
      <c r="CJ45" s="235"/>
      <c r="CK45" s="254"/>
      <c r="CL45" s="235"/>
      <c r="CM45" s="235"/>
      <c r="CN45" s="235"/>
      <c r="CO45" s="235"/>
      <c r="CP45" s="235"/>
      <c r="CQ45" s="235"/>
      <c r="CR45" s="235"/>
      <c r="CS45" s="235"/>
      <c r="CT45" s="235"/>
    </row>
    <row r="46" spans="1:98" x14ac:dyDescent="0.25">
      <c r="A46" s="775"/>
      <c r="B46" s="262">
        <v>42</v>
      </c>
      <c r="C46" s="283" t="s">
        <v>531</v>
      </c>
      <c r="D46" s="270" t="s">
        <v>153</v>
      </c>
      <c r="E46" s="53"/>
      <c r="F46" s="22"/>
      <c r="G46" s="22"/>
      <c r="H46" s="22"/>
      <c r="I46" s="22"/>
      <c r="J46" s="22"/>
      <c r="K46" s="22"/>
      <c r="L46" s="22"/>
      <c r="M46" s="22"/>
      <c r="N46" s="54"/>
      <c r="O46" s="164"/>
      <c r="P46" s="165"/>
      <c r="Q46" s="37"/>
      <c r="R46" s="165"/>
      <c r="S46" s="165"/>
      <c r="T46" s="165"/>
      <c r="U46" s="165"/>
      <c r="V46" s="165"/>
      <c r="W46" s="165"/>
      <c r="X46" s="165"/>
      <c r="Y46" s="165"/>
      <c r="Z46" s="167"/>
      <c r="AA46" s="219"/>
      <c r="AB46" s="208"/>
      <c r="AC46" s="208"/>
      <c r="AD46" s="208"/>
      <c r="AE46" s="41"/>
      <c r="AF46" s="208"/>
      <c r="AG46" s="208"/>
      <c r="AH46" s="208"/>
      <c r="AI46" s="208"/>
      <c r="AJ46" s="208"/>
      <c r="AK46" s="208"/>
      <c r="AL46" s="223"/>
      <c r="AM46" s="243"/>
      <c r="AN46" s="254" t="s">
        <v>690</v>
      </c>
      <c r="AO46" s="235"/>
      <c r="AP46" s="235"/>
      <c r="AQ46" s="235"/>
      <c r="AR46" s="235"/>
      <c r="AS46" s="235"/>
      <c r="AT46" s="235"/>
      <c r="AU46" s="235"/>
      <c r="AV46" s="235"/>
      <c r="AW46" s="235"/>
      <c r="AX46" s="244"/>
      <c r="AY46" s="243"/>
      <c r="AZ46" s="235" t="s">
        <v>690</v>
      </c>
      <c r="BA46" s="254"/>
      <c r="BB46" s="235"/>
      <c r="BC46" s="235"/>
      <c r="BD46" s="235"/>
      <c r="BE46" s="235"/>
      <c r="BF46" s="235"/>
      <c r="BG46" s="235"/>
      <c r="BH46" s="235"/>
      <c r="BI46" s="235"/>
      <c r="BJ46" s="244"/>
      <c r="BK46" s="243"/>
      <c r="BL46" s="254"/>
      <c r="BM46" s="235"/>
      <c r="BN46" s="235"/>
      <c r="BO46" s="235"/>
      <c r="BP46" s="235"/>
      <c r="BQ46" s="235"/>
      <c r="BR46" s="235"/>
      <c r="BS46" s="235"/>
      <c r="BT46" s="235"/>
      <c r="BU46" s="235"/>
      <c r="BV46" s="244"/>
      <c r="BW46" s="235"/>
      <c r="BX46" s="235"/>
      <c r="BY46" s="254"/>
      <c r="BZ46" s="235"/>
      <c r="CA46" s="235"/>
      <c r="CB46" s="235"/>
      <c r="CC46" s="235"/>
      <c r="CD46" s="235"/>
      <c r="CE46" s="235"/>
      <c r="CF46" s="235"/>
      <c r="CG46" s="235"/>
      <c r="CH46" s="244"/>
      <c r="CI46" s="351"/>
      <c r="CJ46" s="235"/>
      <c r="CK46" s="233"/>
      <c r="CL46" s="235"/>
      <c r="CM46" s="235"/>
      <c r="CN46" s="235"/>
      <c r="CO46" s="235"/>
      <c r="CP46" s="235"/>
      <c r="CQ46" s="235"/>
      <c r="CR46" s="235"/>
      <c r="CS46" s="235"/>
      <c r="CT46" s="235"/>
    </row>
    <row r="47" spans="1:98" x14ac:dyDescent="0.25">
      <c r="A47" s="775"/>
      <c r="B47" s="262">
        <v>43</v>
      </c>
      <c r="C47" s="283" t="s">
        <v>532</v>
      </c>
      <c r="D47" s="270" t="s">
        <v>154</v>
      </c>
      <c r="E47" s="53"/>
      <c r="F47" s="22"/>
      <c r="G47" s="22"/>
      <c r="H47" s="22"/>
      <c r="I47" s="22"/>
      <c r="J47" s="22"/>
      <c r="K47" s="22"/>
      <c r="L47" s="22"/>
      <c r="M47" s="22"/>
      <c r="N47" s="54"/>
      <c r="O47" s="164"/>
      <c r="P47" s="165"/>
      <c r="Q47" s="37"/>
      <c r="R47" s="165"/>
      <c r="S47" s="165"/>
      <c r="T47" s="165"/>
      <c r="U47" s="165"/>
      <c r="V47" s="165"/>
      <c r="W47" s="165"/>
      <c r="X47" s="165"/>
      <c r="Y47" s="165"/>
      <c r="Z47" s="167"/>
      <c r="AA47" s="219"/>
      <c r="AB47" s="208"/>
      <c r="AC47" s="208"/>
      <c r="AD47" s="208"/>
      <c r="AE47" s="41"/>
      <c r="AF47" s="208"/>
      <c r="AG47" s="208"/>
      <c r="AH47" s="208"/>
      <c r="AI47" s="208"/>
      <c r="AJ47" s="208"/>
      <c r="AK47" s="208"/>
      <c r="AL47" s="223"/>
      <c r="AM47" s="243"/>
      <c r="AN47" s="254" t="s">
        <v>690</v>
      </c>
      <c r="AO47" s="235"/>
      <c r="AP47" s="235"/>
      <c r="AQ47" s="235"/>
      <c r="AR47" s="235"/>
      <c r="AS47" s="235"/>
      <c r="AU47" s="235"/>
      <c r="AV47" s="235"/>
      <c r="AW47" s="235"/>
      <c r="AX47" s="244"/>
      <c r="AY47" s="243"/>
      <c r="AZ47" s="235" t="s">
        <v>690</v>
      </c>
      <c r="BA47" s="254"/>
      <c r="BB47" s="235"/>
      <c r="BC47" s="235"/>
      <c r="BD47" s="235"/>
      <c r="BE47" s="235"/>
      <c r="BF47" s="345"/>
      <c r="BG47" s="235"/>
      <c r="BH47" s="235"/>
      <c r="BI47" s="235"/>
      <c r="BJ47" s="244"/>
      <c r="BK47" s="243"/>
      <c r="BL47" s="254"/>
      <c r="BM47" s="235"/>
      <c r="BN47" s="235"/>
      <c r="BO47" s="235"/>
      <c r="BP47" s="235"/>
      <c r="BQ47" s="235"/>
      <c r="BR47" s="345"/>
      <c r="BS47" s="235"/>
      <c r="BT47" s="235"/>
      <c r="BU47" s="235"/>
      <c r="BV47" s="244"/>
      <c r="BW47" s="235"/>
      <c r="BX47" s="235"/>
      <c r="BY47" s="254"/>
      <c r="BZ47" s="235"/>
      <c r="CA47" s="235"/>
      <c r="CB47" s="235"/>
      <c r="CC47" s="235"/>
      <c r="CD47" s="235"/>
      <c r="CE47" s="235"/>
      <c r="CF47" s="235"/>
      <c r="CG47" s="235"/>
      <c r="CH47" s="244"/>
      <c r="CI47" s="351"/>
      <c r="CJ47" s="235"/>
      <c r="CK47" s="233"/>
      <c r="CL47" s="235"/>
      <c r="CM47" s="235"/>
      <c r="CN47" s="235"/>
      <c r="CO47" s="235"/>
      <c r="CP47" s="235"/>
      <c r="CQ47" s="235"/>
      <c r="CR47" s="235"/>
      <c r="CS47" s="235"/>
      <c r="CT47" s="235"/>
    </row>
    <row r="48" spans="1:98" x14ac:dyDescent="0.25">
      <c r="A48" s="775"/>
      <c r="B48" s="262">
        <v>44</v>
      </c>
      <c r="C48" s="283" t="s">
        <v>533</v>
      </c>
      <c r="D48" s="270" t="s">
        <v>155</v>
      </c>
      <c r="E48" s="53"/>
      <c r="F48" s="22"/>
      <c r="G48" s="22"/>
      <c r="H48" s="22"/>
      <c r="I48" s="22"/>
      <c r="J48" s="22"/>
      <c r="K48" s="22"/>
      <c r="L48" s="22"/>
      <c r="M48" s="22"/>
      <c r="N48" s="54"/>
      <c r="O48" s="164"/>
      <c r="P48" s="165"/>
      <c r="Q48" s="37"/>
      <c r="R48" s="165"/>
      <c r="S48" s="165"/>
      <c r="T48" s="165"/>
      <c r="U48" s="165"/>
      <c r="V48" s="165"/>
      <c r="W48" s="165"/>
      <c r="X48" s="165"/>
      <c r="Y48" s="165"/>
      <c r="Z48" s="167"/>
      <c r="AA48" s="219"/>
      <c r="AB48" s="208"/>
      <c r="AC48" s="208"/>
      <c r="AD48" s="208"/>
      <c r="AE48" s="220"/>
      <c r="AF48" s="41"/>
      <c r="AG48" s="220"/>
      <c r="AH48" s="208"/>
      <c r="AI48" s="208"/>
      <c r="AJ48" s="208"/>
      <c r="AK48" s="208"/>
      <c r="AL48" s="223"/>
      <c r="AM48" s="243"/>
      <c r="AN48" s="235"/>
      <c r="AO48" s="235"/>
      <c r="AP48" s="235"/>
      <c r="AQ48" s="235"/>
      <c r="AS48" s="235"/>
      <c r="AT48" s="254"/>
      <c r="AU48" s="235"/>
      <c r="AV48" s="235"/>
      <c r="AW48" s="235"/>
      <c r="AX48" s="244"/>
      <c r="AY48" s="243"/>
      <c r="AZ48" s="235"/>
      <c r="BA48" s="235"/>
      <c r="BB48" s="235"/>
      <c r="BC48" s="235"/>
      <c r="BD48" s="345"/>
      <c r="BE48" s="235"/>
      <c r="BF48" s="235"/>
      <c r="BH48" s="254"/>
      <c r="BI48" s="235"/>
      <c r="BJ48" s="244"/>
      <c r="BK48" s="243"/>
      <c r="BL48" s="235"/>
      <c r="BM48" s="235"/>
      <c r="BN48" s="235"/>
      <c r="BO48" s="235"/>
      <c r="BP48" s="345"/>
      <c r="BQ48" s="235"/>
      <c r="BR48" s="235"/>
      <c r="BS48" s="235"/>
      <c r="BU48" s="235"/>
      <c r="BV48" s="254"/>
      <c r="BW48" s="235"/>
      <c r="BX48" s="235"/>
      <c r="BY48" s="235"/>
      <c r="BZ48" s="235"/>
      <c r="CA48" s="235"/>
      <c r="CB48" s="235"/>
      <c r="CC48" s="235"/>
      <c r="CD48" s="235"/>
      <c r="CE48" s="235"/>
      <c r="CF48" s="235"/>
      <c r="CG48" s="235"/>
      <c r="CH48" s="244"/>
      <c r="CI48" s="351"/>
      <c r="CJ48" s="235"/>
      <c r="CK48" s="235"/>
      <c r="CL48" s="235"/>
      <c r="CM48" s="254"/>
      <c r="CN48" s="235"/>
      <c r="CO48" s="235"/>
      <c r="CP48" s="235"/>
      <c r="CQ48" s="235"/>
      <c r="CR48" s="235"/>
      <c r="CS48" s="235"/>
      <c r="CT48" s="235"/>
    </row>
    <row r="49" spans="1:98" x14ac:dyDescent="0.25">
      <c r="A49" s="775"/>
      <c r="B49" s="262">
        <v>45</v>
      </c>
      <c r="C49" s="283" t="s">
        <v>534</v>
      </c>
      <c r="D49" s="270" t="s">
        <v>156</v>
      </c>
      <c r="E49" s="53"/>
      <c r="F49" s="22"/>
      <c r="G49" s="22"/>
      <c r="H49" s="22"/>
      <c r="I49" s="22"/>
      <c r="J49" s="22"/>
      <c r="K49" s="22"/>
      <c r="L49" s="22"/>
      <c r="M49" s="22"/>
      <c r="N49" s="54"/>
      <c r="O49" s="164"/>
      <c r="P49" s="165"/>
      <c r="Q49" s="165"/>
      <c r="R49" s="165"/>
      <c r="S49" s="165"/>
      <c r="T49" s="165"/>
      <c r="U49" s="165"/>
      <c r="V49" s="165"/>
      <c r="W49" s="41"/>
      <c r="X49" s="165"/>
      <c r="Y49" s="165"/>
      <c r="Z49" s="167"/>
      <c r="AA49" s="219"/>
      <c r="AB49" s="41"/>
      <c r="AC49" s="208"/>
      <c r="AD49" s="208"/>
      <c r="AE49" s="208"/>
      <c r="AF49" s="208"/>
      <c r="AG49" s="208"/>
      <c r="AH49" s="208"/>
      <c r="AI49" s="208"/>
      <c r="AJ49" s="208"/>
      <c r="AK49" s="208"/>
      <c r="AL49" s="223"/>
      <c r="AM49" s="243"/>
      <c r="AN49" s="254"/>
      <c r="AO49" s="235"/>
      <c r="AP49" s="235"/>
      <c r="AQ49" s="235"/>
      <c r="AR49" s="235"/>
      <c r="AS49" s="235"/>
      <c r="AT49" s="235"/>
      <c r="AU49" s="235"/>
      <c r="AV49" s="235"/>
      <c r="AW49" s="235"/>
      <c r="AX49" s="244"/>
      <c r="AY49" s="243"/>
      <c r="AZ49" s="235"/>
      <c r="BA49" s="235"/>
      <c r="BB49" s="235"/>
      <c r="BC49" s="235"/>
      <c r="BD49" s="235"/>
      <c r="BE49" s="235"/>
      <c r="BF49" s="235"/>
      <c r="BG49" s="235"/>
      <c r="BH49" s="235"/>
      <c r="BI49" s="235"/>
      <c r="BJ49" s="244"/>
      <c r="BK49" s="254"/>
      <c r="BL49" s="235"/>
      <c r="BM49" s="235"/>
      <c r="BN49" s="235"/>
      <c r="BO49" s="235"/>
      <c r="BP49" s="235"/>
      <c r="BQ49" s="235"/>
      <c r="BR49" s="235"/>
      <c r="BS49" s="235"/>
      <c r="BT49" s="235"/>
      <c r="BU49" s="235"/>
      <c r="BV49" s="244"/>
      <c r="BW49" s="235"/>
      <c r="BX49" s="235"/>
      <c r="BY49" s="235"/>
      <c r="BZ49" s="235"/>
      <c r="CA49" s="235"/>
      <c r="CB49" s="235"/>
      <c r="CC49" s="233"/>
      <c r="CD49" s="235"/>
      <c r="CE49" s="235"/>
      <c r="CF49" s="235"/>
      <c r="CG49" s="235"/>
      <c r="CH49" s="244"/>
      <c r="CI49" s="351"/>
      <c r="CJ49" s="235"/>
      <c r="CK49" s="254"/>
      <c r="CL49" s="235"/>
      <c r="CM49" s="235"/>
      <c r="CN49" s="235"/>
      <c r="CO49" s="259"/>
      <c r="CP49" s="235"/>
      <c r="CQ49" s="235"/>
      <c r="CR49" s="235"/>
      <c r="CS49" s="235"/>
      <c r="CT49" s="235"/>
    </row>
    <row r="50" spans="1:98" x14ac:dyDescent="0.25">
      <c r="A50" s="775"/>
      <c r="B50" s="262">
        <v>46</v>
      </c>
      <c r="C50" s="283" t="s">
        <v>535</v>
      </c>
      <c r="D50" s="270" t="s">
        <v>157</v>
      </c>
      <c r="E50" s="53"/>
      <c r="F50" s="22"/>
      <c r="G50" s="22"/>
      <c r="H50" s="22"/>
      <c r="I50" s="22"/>
      <c r="J50" s="22"/>
      <c r="K50" s="22"/>
      <c r="L50" s="22"/>
      <c r="M50" s="22"/>
      <c r="N50" s="54"/>
      <c r="O50" s="164"/>
      <c r="P50" s="165"/>
      <c r="Q50" s="165"/>
      <c r="R50" s="165"/>
      <c r="S50" s="165"/>
      <c r="T50" s="165"/>
      <c r="U50" s="165"/>
      <c r="V50" s="165"/>
      <c r="W50" s="41"/>
      <c r="X50" s="165"/>
      <c r="Y50" s="165"/>
      <c r="Z50" s="167"/>
      <c r="AA50" s="219"/>
      <c r="AB50" s="41"/>
      <c r="AC50" s="208"/>
      <c r="AD50" s="208"/>
      <c r="AE50" s="208"/>
      <c r="AF50" s="208"/>
      <c r="AG50" s="208"/>
      <c r="AH50" s="208"/>
      <c r="AI50" s="208"/>
      <c r="AJ50" s="208"/>
      <c r="AK50" s="208"/>
      <c r="AL50" s="223"/>
      <c r="AM50" s="243"/>
      <c r="AN50" s="254"/>
      <c r="AO50" s="235"/>
      <c r="AP50" s="235"/>
      <c r="AQ50" s="235"/>
      <c r="AR50" s="235"/>
      <c r="AS50" s="235"/>
      <c r="AT50" s="235"/>
      <c r="AU50" s="235"/>
      <c r="AV50" s="235"/>
      <c r="AW50" s="235"/>
      <c r="AX50" s="244"/>
      <c r="AY50" s="243"/>
      <c r="AZ50" s="235"/>
      <c r="BA50" s="235"/>
      <c r="BB50" s="235"/>
      <c r="BC50" s="235"/>
      <c r="BD50" s="235"/>
      <c r="BE50" s="235"/>
      <c r="BF50" s="235"/>
      <c r="BG50" s="235"/>
      <c r="BH50" s="235"/>
      <c r="BI50" s="235"/>
      <c r="BJ50" s="244"/>
      <c r="BK50" s="235"/>
      <c r="BL50" s="235"/>
      <c r="BM50" s="254"/>
      <c r="BN50" s="235"/>
      <c r="BO50" s="235"/>
      <c r="BP50" s="235"/>
      <c r="BQ50" s="235"/>
      <c r="BR50" s="235"/>
      <c r="BS50" s="235"/>
      <c r="BT50" s="235"/>
      <c r="BU50" s="235"/>
      <c r="BV50" s="244"/>
      <c r="BW50" s="235"/>
      <c r="BX50" s="235"/>
      <c r="BY50" s="235"/>
      <c r="BZ50" s="235"/>
      <c r="CA50" s="235"/>
      <c r="CB50" s="235"/>
      <c r="CC50" s="233"/>
      <c r="CD50" s="235"/>
      <c r="CE50" s="235"/>
      <c r="CF50" s="235"/>
      <c r="CG50" s="235"/>
      <c r="CH50" s="244"/>
      <c r="CI50" s="351"/>
      <c r="CJ50" s="235"/>
      <c r="CK50" s="254"/>
      <c r="CL50" s="235"/>
      <c r="CM50" s="235"/>
      <c r="CN50" s="235"/>
      <c r="CO50" s="259"/>
      <c r="CP50" s="235"/>
      <c r="CQ50" s="235"/>
      <c r="CR50" s="235"/>
      <c r="CS50" s="235"/>
      <c r="CT50" s="235"/>
    </row>
    <row r="51" spans="1:98" x14ac:dyDescent="0.25">
      <c r="A51" s="775"/>
      <c r="B51" s="262">
        <v>47</v>
      </c>
      <c r="C51" s="283" t="s">
        <v>536</v>
      </c>
      <c r="D51" s="270" t="s">
        <v>158</v>
      </c>
      <c r="E51" s="53"/>
      <c r="F51" s="22"/>
      <c r="G51" s="22"/>
      <c r="H51" s="22"/>
      <c r="I51" s="22"/>
      <c r="J51" s="22"/>
      <c r="K51" s="22"/>
      <c r="L51" s="22"/>
      <c r="M51" s="22"/>
      <c r="N51" s="54"/>
      <c r="O51" s="164"/>
      <c r="P51" s="165"/>
      <c r="Q51" s="165"/>
      <c r="R51" s="165"/>
      <c r="S51" s="165"/>
      <c r="T51" s="165"/>
      <c r="U51" s="165"/>
      <c r="V51" s="165"/>
      <c r="W51" s="41"/>
      <c r="X51" s="165"/>
      <c r="Y51" s="165"/>
      <c r="Z51" s="167"/>
      <c r="AA51" s="219"/>
      <c r="AB51" s="41"/>
      <c r="AC51" s="208"/>
      <c r="AD51" s="208"/>
      <c r="AE51" s="208"/>
      <c r="AF51" s="208"/>
      <c r="AG51" s="208"/>
      <c r="AH51" s="208"/>
      <c r="AI51" s="208"/>
      <c r="AJ51" s="208"/>
      <c r="AK51" s="208"/>
      <c r="AL51" s="223"/>
      <c r="AM51" s="243"/>
      <c r="AN51" s="254"/>
      <c r="AO51" s="235"/>
      <c r="AP51" s="235"/>
      <c r="AQ51" s="235"/>
      <c r="AR51" s="235"/>
      <c r="AS51" s="235"/>
      <c r="AT51" s="235"/>
      <c r="AU51" s="235"/>
      <c r="AV51" s="235"/>
      <c r="AW51" s="235"/>
      <c r="AX51" s="244"/>
      <c r="AY51" s="243"/>
      <c r="AZ51" s="235"/>
      <c r="BA51" s="235"/>
      <c r="BB51" s="235"/>
      <c r="BC51" s="235"/>
      <c r="BD51" s="235"/>
      <c r="BE51" s="235"/>
      <c r="BF51" s="235"/>
      <c r="BG51" s="235"/>
      <c r="BH51" s="235"/>
      <c r="BI51" s="235"/>
      <c r="BJ51" s="244"/>
      <c r="BK51" s="235"/>
      <c r="BL51" s="235"/>
      <c r="BM51" s="254"/>
      <c r="BN51" s="235"/>
      <c r="BO51" s="235"/>
      <c r="BP51" s="235"/>
      <c r="BQ51" s="235"/>
      <c r="BR51" s="235"/>
      <c r="BS51" s="235"/>
      <c r="BT51" s="235"/>
      <c r="BU51" s="235"/>
      <c r="BV51" s="244"/>
      <c r="BW51" s="235"/>
      <c r="BX51" s="235"/>
      <c r="BY51" s="235"/>
      <c r="BZ51" s="235"/>
      <c r="CA51" s="235"/>
      <c r="CB51" s="235"/>
      <c r="CC51" s="233"/>
      <c r="CD51" s="235"/>
      <c r="CE51" s="235"/>
      <c r="CF51" s="235"/>
      <c r="CG51" s="235"/>
      <c r="CH51" s="244"/>
      <c r="CI51" s="351"/>
      <c r="CJ51" s="235"/>
      <c r="CK51" s="254"/>
      <c r="CL51" s="235"/>
      <c r="CM51" s="235"/>
      <c r="CN51" s="235"/>
      <c r="CO51" s="259"/>
      <c r="CP51" s="235"/>
      <c r="CQ51" s="235"/>
      <c r="CR51" s="235"/>
      <c r="CS51" s="235"/>
      <c r="CT51" s="235"/>
    </row>
    <row r="52" spans="1:98" x14ac:dyDescent="0.25">
      <c r="A52" s="775"/>
      <c r="B52" s="262">
        <v>48</v>
      </c>
      <c r="C52" s="283" t="s">
        <v>537</v>
      </c>
      <c r="D52" s="270" t="s">
        <v>159</v>
      </c>
      <c r="E52" s="53"/>
      <c r="F52" s="22"/>
      <c r="G52" s="22"/>
      <c r="H52" s="22"/>
      <c r="I52" s="22"/>
      <c r="J52" s="22"/>
      <c r="K52" s="22"/>
      <c r="L52" s="22"/>
      <c r="M52" s="22"/>
      <c r="N52" s="54"/>
      <c r="O52" s="164"/>
      <c r="P52" s="165"/>
      <c r="Q52" s="165"/>
      <c r="R52" s="165"/>
      <c r="S52" s="165"/>
      <c r="T52" s="165"/>
      <c r="U52" s="165"/>
      <c r="V52" s="165"/>
      <c r="W52" s="41"/>
      <c r="X52" s="165"/>
      <c r="Y52" s="165"/>
      <c r="Z52" s="167"/>
      <c r="AA52" s="219"/>
      <c r="AB52" s="41"/>
      <c r="AC52" s="208"/>
      <c r="AD52" s="208"/>
      <c r="AE52" s="208"/>
      <c r="AF52" s="208"/>
      <c r="AG52" s="208"/>
      <c r="AH52" s="208"/>
      <c r="AI52" s="208"/>
      <c r="AJ52" s="208"/>
      <c r="AK52" s="208"/>
      <c r="AL52" s="223"/>
      <c r="AM52" s="243"/>
      <c r="AN52" s="254"/>
      <c r="AO52" s="235"/>
      <c r="AP52" s="235"/>
      <c r="AQ52" s="235"/>
      <c r="AR52" s="235"/>
      <c r="AS52" s="235"/>
      <c r="AT52" s="235"/>
      <c r="AU52" s="235"/>
      <c r="AV52" s="235"/>
      <c r="AW52" s="235"/>
      <c r="AX52" s="244"/>
      <c r="AY52" s="243"/>
      <c r="AZ52" s="235"/>
      <c r="BA52" s="235"/>
      <c r="BB52" s="235"/>
      <c r="BC52" s="235"/>
      <c r="BD52" s="235"/>
      <c r="BE52" s="235"/>
      <c r="BF52" s="235"/>
      <c r="BG52" s="235"/>
      <c r="BH52" s="235"/>
      <c r="BI52" s="235"/>
      <c r="BJ52" s="244"/>
      <c r="BK52" s="235"/>
      <c r="BL52" s="235"/>
      <c r="BM52" s="254"/>
      <c r="BN52" s="235"/>
      <c r="BO52" s="235"/>
      <c r="BP52" s="235"/>
      <c r="BQ52" s="235"/>
      <c r="BR52" s="235"/>
      <c r="BS52" s="235"/>
      <c r="BT52" s="235"/>
      <c r="BU52" s="235"/>
      <c r="BV52" s="244"/>
      <c r="BW52" s="235"/>
      <c r="BX52" s="235"/>
      <c r="BY52" s="235"/>
      <c r="BZ52" s="235"/>
      <c r="CA52" s="235"/>
      <c r="CB52" s="235"/>
      <c r="CC52" s="233"/>
      <c r="CD52" s="235"/>
      <c r="CE52" s="235"/>
      <c r="CF52" s="235"/>
      <c r="CG52" s="235"/>
      <c r="CH52" s="244"/>
      <c r="CI52" s="351"/>
      <c r="CJ52" s="235"/>
      <c r="CK52" s="254"/>
      <c r="CL52" s="235"/>
      <c r="CM52" s="235"/>
      <c r="CN52" s="235"/>
      <c r="CO52" s="259"/>
      <c r="CP52" s="235"/>
      <c r="CQ52" s="235"/>
      <c r="CR52" s="235"/>
      <c r="CS52" s="235"/>
      <c r="CT52" s="235"/>
    </row>
    <row r="53" spans="1:98" x14ac:dyDescent="0.25">
      <c r="A53" s="775"/>
      <c r="B53" s="262">
        <v>49</v>
      </c>
      <c r="C53" s="283" t="s">
        <v>538</v>
      </c>
      <c r="D53" s="270" t="s">
        <v>160</v>
      </c>
      <c r="E53" s="53"/>
      <c r="F53" s="22"/>
      <c r="G53" s="22"/>
      <c r="H53" s="22"/>
      <c r="I53" s="22"/>
      <c r="J53" s="22"/>
      <c r="K53" s="22"/>
      <c r="L53" s="22"/>
      <c r="M53" s="22"/>
      <c r="N53" s="54"/>
      <c r="O53" s="164"/>
      <c r="P53" s="165"/>
      <c r="Q53" s="165"/>
      <c r="R53" s="165"/>
      <c r="S53" s="165"/>
      <c r="T53" s="165"/>
      <c r="U53" s="41"/>
      <c r="V53" s="165"/>
      <c r="W53" s="165"/>
      <c r="X53" s="165"/>
      <c r="Y53" s="165"/>
      <c r="Z53" s="167"/>
      <c r="AA53" s="116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24"/>
      <c r="AM53" s="243"/>
      <c r="AN53" s="235"/>
      <c r="AO53" s="235"/>
      <c r="AP53" s="235"/>
      <c r="AQ53" s="235"/>
      <c r="AR53" s="235"/>
      <c r="AS53" s="235"/>
      <c r="AT53" s="235"/>
      <c r="AU53" s="235"/>
      <c r="AV53" s="235"/>
      <c r="AW53" s="235"/>
      <c r="AX53" s="244"/>
      <c r="AY53" s="252"/>
      <c r="AZ53" s="235"/>
      <c r="BA53" s="235"/>
      <c r="BB53" s="235"/>
      <c r="BC53" s="235"/>
      <c r="BD53" s="235"/>
      <c r="BE53" s="235"/>
      <c r="BF53" s="235"/>
      <c r="BG53" s="235"/>
      <c r="BH53" s="235"/>
      <c r="BI53" s="235"/>
      <c r="BJ53" s="244"/>
      <c r="BK53" s="235"/>
      <c r="BM53" s="254"/>
      <c r="BN53" s="235"/>
      <c r="BO53" s="235"/>
      <c r="BP53" s="235"/>
      <c r="BQ53" s="235"/>
      <c r="BR53" s="235"/>
      <c r="BS53" s="235"/>
      <c r="BT53" s="235"/>
      <c r="BU53" s="235"/>
      <c r="BV53" s="244"/>
      <c r="BW53" s="235"/>
      <c r="BX53" s="235"/>
      <c r="BY53" s="235"/>
      <c r="BZ53" s="235"/>
      <c r="CA53" s="235"/>
      <c r="CB53" s="235"/>
      <c r="CC53" s="254"/>
      <c r="CD53" s="235"/>
      <c r="CE53" s="235"/>
      <c r="CF53" s="235"/>
      <c r="CG53" s="235"/>
      <c r="CH53" s="244"/>
      <c r="CI53" s="351"/>
      <c r="CJ53" s="235"/>
      <c r="CK53" s="235"/>
      <c r="CL53" s="235"/>
      <c r="CM53" s="235"/>
      <c r="CN53" s="235"/>
      <c r="CO53" s="259"/>
      <c r="CP53" s="233"/>
      <c r="CQ53" s="235"/>
      <c r="CR53" s="235"/>
      <c r="CS53" s="235"/>
      <c r="CT53" s="235"/>
    </row>
    <row r="54" spans="1:98" x14ac:dyDescent="0.25">
      <c r="A54" s="775"/>
      <c r="B54" s="262">
        <v>50</v>
      </c>
      <c r="C54" s="283" t="s">
        <v>539</v>
      </c>
      <c r="D54" s="270" t="s">
        <v>161</v>
      </c>
      <c r="E54" s="31"/>
      <c r="F54" s="21"/>
      <c r="G54" s="21"/>
      <c r="H54" s="21"/>
      <c r="I54" s="21"/>
      <c r="J54" s="21"/>
      <c r="K54" s="21"/>
      <c r="L54" s="21"/>
      <c r="M54" s="21"/>
      <c r="N54" s="32"/>
      <c r="O54" s="164"/>
      <c r="P54" s="165"/>
      <c r="Q54" s="165"/>
      <c r="R54" s="165"/>
      <c r="S54" s="165"/>
      <c r="T54" s="165"/>
      <c r="U54" s="41"/>
      <c r="V54" s="165"/>
      <c r="W54" s="165"/>
      <c r="X54" s="165"/>
      <c r="Y54" s="165"/>
      <c r="Z54" s="167"/>
      <c r="AA54" s="116"/>
      <c r="AB54" s="208"/>
      <c r="AC54" s="208"/>
      <c r="AD54" s="208"/>
      <c r="AE54" s="208"/>
      <c r="AF54" s="208"/>
      <c r="AG54" s="208"/>
      <c r="AH54" s="208"/>
      <c r="AI54" s="208"/>
      <c r="AJ54" s="208"/>
      <c r="AK54" s="208"/>
      <c r="AL54" s="224"/>
      <c r="AM54" s="243"/>
      <c r="AN54" s="235"/>
      <c r="AO54" s="235"/>
      <c r="AP54" s="235"/>
      <c r="AQ54" s="235"/>
      <c r="AR54" s="235"/>
      <c r="AS54" s="235"/>
      <c r="AT54" s="235"/>
      <c r="AU54" s="235"/>
      <c r="AV54" s="235"/>
      <c r="AW54" s="235"/>
      <c r="AX54" s="349"/>
      <c r="AY54" s="243"/>
      <c r="AZ54" s="235"/>
      <c r="BA54" s="235"/>
      <c r="BB54" s="235"/>
      <c r="BC54" s="235"/>
      <c r="BD54" s="235"/>
      <c r="BE54" s="235"/>
      <c r="BF54" s="235"/>
      <c r="BG54" s="235"/>
      <c r="BH54" s="235"/>
      <c r="BI54" s="235"/>
      <c r="BJ54" s="244"/>
      <c r="BK54" s="235"/>
      <c r="BL54" s="350"/>
      <c r="BM54" s="350"/>
      <c r="BN54" s="235"/>
      <c r="BO54" s="254"/>
      <c r="BP54" s="235"/>
      <c r="BQ54" s="235"/>
      <c r="BR54" s="235"/>
      <c r="BS54" s="235"/>
      <c r="BT54" s="235"/>
      <c r="BU54" s="235"/>
      <c r="BV54" s="244"/>
      <c r="BW54" s="235"/>
      <c r="BX54" s="235"/>
      <c r="BY54" s="235"/>
      <c r="BZ54" s="235"/>
      <c r="CA54" s="235"/>
      <c r="CB54" s="235"/>
      <c r="CC54" s="235"/>
      <c r="CD54" s="254"/>
      <c r="CE54" s="235"/>
      <c r="CF54" s="235"/>
      <c r="CG54" s="235"/>
      <c r="CH54" s="244"/>
      <c r="CI54" s="351"/>
      <c r="CJ54" s="235"/>
      <c r="CK54" s="235"/>
      <c r="CL54" s="235"/>
      <c r="CM54" s="235"/>
      <c r="CN54" s="235"/>
      <c r="CO54" s="235"/>
      <c r="CP54" s="233"/>
      <c r="CQ54" s="235"/>
      <c r="CR54" s="235"/>
      <c r="CS54" s="235"/>
      <c r="CT54" s="235"/>
    </row>
    <row r="55" spans="1:98" x14ac:dyDescent="0.25">
      <c r="A55" s="775"/>
      <c r="B55" s="262">
        <v>51</v>
      </c>
      <c r="C55" s="283" t="s">
        <v>540</v>
      </c>
      <c r="D55" s="270" t="s">
        <v>162</v>
      </c>
      <c r="E55" s="31"/>
      <c r="F55" s="21"/>
      <c r="G55" s="21"/>
      <c r="H55" s="21"/>
      <c r="I55" s="21"/>
      <c r="J55" s="21"/>
      <c r="K55" s="21"/>
      <c r="L55" s="21"/>
      <c r="M55" s="21"/>
      <c r="N55" s="32"/>
      <c r="O55" s="164"/>
      <c r="P55" s="165"/>
      <c r="Q55" s="165"/>
      <c r="R55" s="165"/>
      <c r="S55" s="165"/>
      <c r="T55" s="165"/>
      <c r="U55" s="41"/>
      <c r="V55" s="165"/>
      <c r="W55" s="165"/>
      <c r="X55" s="165"/>
      <c r="Y55" s="165"/>
      <c r="Z55" s="167"/>
      <c r="AA55" s="116"/>
      <c r="AB55" s="208"/>
      <c r="AC55" s="208"/>
      <c r="AD55" s="208"/>
      <c r="AE55" s="208"/>
      <c r="AF55" s="208"/>
      <c r="AG55" s="208"/>
      <c r="AH55" s="208"/>
      <c r="AI55" s="208"/>
      <c r="AJ55" s="208"/>
      <c r="AK55" s="208"/>
      <c r="AL55" s="224"/>
      <c r="AM55" s="243"/>
      <c r="AN55" s="235"/>
      <c r="AO55" s="235"/>
      <c r="AP55" s="235"/>
      <c r="AQ55" s="235"/>
      <c r="AR55" s="235"/>
      <c r="AS55" s="235"/>
      <c r="AT55" s="235"/>
      <c r="AU55" s="235"/>
      <c r="AV55" s="235"/>
      <c r="AW55" s="235"/>
      <c r="AX55" s="349"/>
      <c r="AY55" s="243"/>
      <c r="AZ55" s="235"/>
      <c r="BA55" s="235"/>
      <c r="BB55" s="235"/>
      <c r="BC55" s="235"/>
      <c r="BD55" s="235"/>
      <c r="BE55" s="235"/>
      <c r="BF55" s="235"/>
      <c r="BG55" s="235"/>
      <c r="BH55" s="235"/>
      <c r="BI55" s="235"/>
      <c r="BJ55" s="244"/>
      <c r="BK55" s="235"/>
      <c r="BL55" s="350"/>
      <c r="BM55" s="350"/>
      <c r="BN55" s="235"/>
      <c r="BO55" s="254"/>
      <c r="BP55" s="235"/>
      <c r="BQ55" s="235"/>
      <c r="BR55" s="235"/>
      <c r="BS55" s="235"/>
      <c r="BT55" s="235"/>
      <c r="BU55" s="235"/>
      <c r="BV55" s="244"/>
      <c r="BW55" s="235"/>
      <c r="BX55" s="235"/>
      <c r="BY55" s="235"/>
      <c r="BZ55" s="235"/>
      <c r="CA55" s="235"/>
      <c r="CB55" s="235"/>
      <c r="CC55" s="235"/>
      <c r="CD55" s="254"/>
      <c r="CE55" s="235"/>
      <c r="CF55" s="235"/>
      <c r="CG55" s="235"/>
      <c r="CH55" s="244"/>
      <c r="CI55" s="351"/>
      <c r="CJ55" s="235"/>
      <c r="CK55" s="235"/>
      <c r="CL55" s="235"/>
      <c r="CM55" s="235"/>
      <c r="CN55" s="235"/>
      <c r="CO55" s="235"/>
      <c r="CP55" s="254"/>
      <c r="CQ55" s="235"/>
      <c r="CR55" s="235"/>
      <c r="CS55" s="235"/>
      <c r="CT55" s="235"/>
    </row>
    <row r="56" spans="1:98" x14ac:dyDescent="0.25">
      <c r="A56" s="775"/>
      <c r="B56" s="262">
        <v>52</v>
      </c>
      <c r="C56" s="283" t="s">
        <v>541</v>
      </c>
      <c r="D56" s="270" t="s">
        <v>163</v>
      </c>
      <c r="E56" s="31"/>
      <c r="F56" s="21"/>
      <c r="G56" s="21"/>
      <c r="H56" s="21"/>
      <c r="I56" s="21"/>
      <c r="J56" s="21"/>
      <c r="K56" s="21"/>
      <c r="L56" s="21"/>
      <c r="M56" s="21"/>
      <c r="N56" s="32"/>
      <c r="O56" s="164"/>
      <c r="P56" s="165"/>
      <c r="Q56" s="165"/>
      <c r="R56" s="165"/>
      <c r="S56" s="165"/>
      <c r="T56" s="165"/>
      <c r="U56" s="41"/>
      <c r="V56" s="165"/>
      <c r="W56" s="165"/>
      <c r="X56" s="165"/>
      <c r="Y56" s="165"/>
      <c r="Z56" s="167"/>
      <c r="AA56" s="116"/>
      <c r="AB56" s="208"/>
      <c r="AC56" s="208"/>
      <c r="AD56" s="208"/>
      <c r="AE56" s="208"/>
      <c r="AF56" s="208"/>
      <c r="AG56" s="208"/>
      <c r="AH56" s="208"/>
      <c r="AI56" s="208"/>
      <c r="AJ56" s="208"/>
      <c r="AK56" s="208"/>
      <c r="AL56" s="224"/>
      <c r="AM56" s="243"/>
      <c r="AN56" s="235"/>
      <c r="AO56" s="235"/>
      <c r="AP56" s="235"/>
      <c r="AQ56" s="235"/>
      <c r="AR56" s="235"/>
      <c r="AS56" s="235"/>
      <c r="AT56" s="235"/>
      <c r="AU56" s="235"/>
      <c r="AV56" s="235"/>
      <c r="AW56" s="235"/>
      <c r="AX56" s="349" t="s">
        <v>320</v>
      </c>
      <c r="AY56" s="243"/>
      <c r="AZ56" s="235"/>
      <c r="BA56" s="235"/>
      <c r="BB56" s="235"/>
      <c r="BC56" s="235"/>
      <c r="BD56" s="235"/>
      <c r="BE56" s="235"/>
      <c r="BF56" s="235"/>
      <c r="BG56" s="235"/>
      <c r="BH56" s="235"/>
      <c r="BI56" s="235"/>
      <c r="BJ56" s="244"/>
      <c r="BK56" s="235"/>
      <c r="BL56" s="350"/>
      <c r="BM56" s="350"/>
      <c r="BN56" s="235"/>
      <c r="BO56" s="254"/>
      <c r="BP56" s="235"/>
      <c r="BQ56" s="235"/>
      <c r="BR56" s="235"/>
      <c r="BS56" s="235"/>
      <c r="BT56" s="235"/>
      <c r="BU56" s="235"/>
      <c r="BV56" s="244"/>
      <c r="BW56" s="235"/>
      <c r="BX56" s="235"/>
      <c r="BY56" s="235"/>
      <c r="BZ56" s="235"/>
      <c r="CA56" s="235"/>
      <c r="CB56" s="235"/>
      <c r="CC56" s="235"/>
      <c r="CD56" s="254"/>
      <c r="CE56" s="235"/>
      <c r="CF56" s="235"/>
      <c r="CG56" s="235"/>
      <c r="CH56" s="244"/>
      <c r="CI56" s="351"/>
      <c r="CJ56" s="235"/>
      <c r="CK56" s="235"/>
      <c r="CL56" s="235"/>
      <c r="CM56" s="235"/>
      <c r="CN56" s="235"/>
      <c r="CO56" s="235"/>
      <c r="CP56" s="254"/>
      <c r="CQ56" s="235"/>
      <c r="CR56" s="235"/>
      <c r="CS56" s="235"/>
      <c r="CT56" s="235"/>
    </row>
    <row r="57" spans="1:98" x14ac:dyDescent="0.25">
      <c r="A57" s="775"/>
      <c r="B57" s="262">
        <v>53</v>
      </c>
      <c r="C57" s="283" t="s">
        <v>542</v>
      </c>
      <c r="D57" s="270" t="s">
        <v>397</v>
      </c>
      <c r="E57" s="31"/>
      <c r="F57" s="21"/>
      <c r="G57" s="21"/>
      <c r="H57" s="21"/>
      <c r="I57" s="21"/>
      <c r="J57" s="21"/>
      <c r="K57" s="21"/>
      <c r="L57" s="21"/>
      <c r="M57" s="21"/>
      <c r="N57" s="32"/>
      <c r="O57" s="164"/>
      <c r="P57" s="165"/>
      <c r="Q57" s="165"/>
      <c r="R57" s="165"/>
      <c r="S57" s="165"/>
      <c r="T57" s="165"/>
      <c r="U57" s="41"/>
      <c r="V57" s="165"/>
      <c r="W57" s="165"/>
      <c r="X57" s="165"/>
      <c r="Y57" s="165"/>
      <c r="Z57" s="167"/>
      <c r="AA57" s="221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24"/>
      <c r="AM57" s="243"/>
      <c r="AN57" s="235"/>
      <c r="AO57" s="235"/>
      <c r="AP57" s="235"/>
      <c r="AQ57" s="235"/>
      <c r="AR57" s="235"/>
      <c r="AS57" s="235"/>
      <c r="AT57" s="235"/>
      <c r="AU57" s="235"/>
      <c r="AV57" s="235"/>
      <c r="AW57" s="235"/>
      <c r="AX57" s="349" t="s">
        <v>690</v>
      </c>
      <c r="AY57" s="243"/>
      <c r="AZ57" s="235"/>
      <c r="BA57" s="235"/>
      <c r="BB57" s="235"/>
      <c r="BC57" s="235"/>
      <c r="BD57" s="235"/>
      <c r="BE57" s="235"/>
      <c r="BF57" s="235"/>
      <c r="BG57" s="235"/>
      <c r="BH57" s="235"/>
      <c r="BI57" s="235"/>
      <c r="BJ57" s="244"/>
      <c r="BK57" s="235"/>
      <c r="BL57" s="350"/>
      <c r="BM57" s="350"/>
      <c r="BN57" s="235"/>
      <c r="BO57" s="254"/>
      <c r="BP57" s="235"/>
      <c r="BQ57" s="235"/>
      <c r="BR57" s="235"/>
      <c r="BS57" s="235"/>
      <c r="BT57" s="235"/>
      <c r="BU57" s="235"/>
      <c r="BV57" s="244"/>
      <c r="BW57" s="235"/>
      <c r="BX57" s="235"/>
      <c r="BY57" s="254"/>
      <c r="BZ57" s="235"/>
      <c r="CA57" s="235"/>
      <c r="CB57" s="259"/>
      <c r="CC57" s="235"/>
      <c r="CD57" s="235"/>
      <c r="CE57" s="235"/>
      <c r="CF57" s="235"/>
      <c r="CG57" s="235"/>
      <c r="CH57" s="244"/>
      <c r="CI57" s="351"/>
      <c r="CJ57" s="254"/>
      <c r="CK57" s="259"/>
      <c r="CL57" s="235"/>
      <c r="CM57" s="235"/>
      <c r="CN57" s="259"/>
      <c r="CO57" s="235"/>
      <c r="CP57" s="235"/>
      <c r="CQ57" s="235"/>
      <c r="CR57" s="235"/>
      <c r="CS57" s="235"/>
      <c r="CT57" s="235"/>
    </row>
    <row r="58" spans="1:98" x14ac:dyDescent="0.25">
      <c r="A58" s="775"/>
      <c r="B58" s="262">
        <v>54</v>
      </c>
      <c r="C58" s="283" t="s">
        <v>543</v>
      </c>
      <c r="D58" s="270" t="s">
        <v>398</v>
      </c>
      <c r="E58" s="31"/>
      <c r="F58" s="21"/>
      <c r="G58" s="21"/>
      <c r="H58" s="21"/>
      <c r="I58" s="21"/>
      <c r="J58" s="21"/>
      <c r="K58" s="21"/>
      <c r="L58" s="21"/>
      <c r="M58" s="21"/>
      <c r="N58" s="32"/>
      <c r="O58" s="164"/>
      <c r="P58" s="165"/>
      <c r="Q58" s="165"/>
      <c r="R58" s="165"/>
      <c r="S58" s="165"/>
      <c r="T58" s="165"/>
      <c r="U58" s="41"/>
      <c r="V58" s="165"/>
      <c r="W58" s="165"/>
      <c r="X58" s="165"/>
      <c r="Y58" s="165"/>
      <c r="Z58" s="167"/>
      <c r="AA58" s="221"/>
      <c r="AB58" s="208"/>
      <c r="AC58" s="208"/>
      <c r="AD58" s="208"/>
      <c r="AE58" s="208"/>
      <c r="AF58" s="208"/>
      <c r="AG58" s="208"/>
      <c r="AH58" s="208"/>
      <c r="AI58" s="208"/>
      <c r="AJ58" s="208"/>
      <c r="AK58" s="208"/>
      <c r="AL58" s="224"/>
      <c r="AM58" s="243"/>
      <c r="AN58" s="235"/>
      <c r="AO58" s="235"/>
      <c r="AP58" s="235"/>
      <c r="AQ58" s="235"/>
      <c r="AR58" s="235"/>
      <c r="AS58" s="235"/>
      <c r="AT58" s="235"/>
      <c r="AU58" s="235"/>
      <c r="AV58" s="235"/>
      <c r="AW58" s="235"/>
      <c r="AX58" s="349" t="s">
        <v>690</v>
      </c>
      <c r="AY58" s="243"/>
      <c r="AZ58" s="235"/>
      <c r="BA58" s="235"/>
      <c r="BB58" s="235"/>
      <c r="BC58" s="235"/>
      <c r="BD58" s="235"/>
      <c r="BE58" s="235"/>
      <c r="BF58" s="235"/>
      <c r="BG58" s="235"/>
      <c r="BH58" s="235"/>
      <c r="BI58" s="235"/>
      <c r="BJ58" s="244" t="s">
        <v>690</v>
      </c>
      <c r="BK58" s="235"/>
      <c r="BL58" s="252"/>
      <c r="BM58" s="362"/>
      <c r="BN58" s="235"/>
      <c r="BO58" s="235"/>
      <c r="BP58" s="235"/>
      <c r="BQ58" s="235"/>
      <c r="BR58" s="235"/>
      <c r="BS58" s="235"/>
      <c r="BT58" s="235"/>
      <c r="BU58" s="235"/>
      <c r="BV58" s="244"/>
      <c r="BW58" s="235"/>
      <c r="BX58" s="254"/>
      <c r="BY58" s="254"/>
      <c r="BZ58" s="235"/>
      <c r="CA58" s="235"/>
      <c r="CB58" s="235"/>
      <c r="CC58" s="235"/>
      <c r="CD58" s="235"/>
      <c r="CE58" s="235"/>
      <c r="CF58" s="235"/>
      <c r="CG58" s="235"/>
      <c r="CH58" s="244"/>
      <c r="CI58" s="351"/>
      <c r="CJ58" s="254"/>
      <c r="CK58" s="259"/>
      <c r="CL58" s="235"/>
      <c r="CM58" s="235"/>
      <c r="CN58" s="235"/>
      <c r="CO58" s="235"/>
      <c r="CP58" s="235"/>
      <c r="CQ58" s="235"/>
      <c r="CR58" s="235"/>
      <c r="CS58" s="235"/>
      <c r="CT58" s="235"/>
    </row>
    <row r="59" spans="1:98" x14ac:dyDescent="0.25">
      <c r="A59" s="775"/>
      <c r="B59" s="262">
        <v>55</v>
      </c>
      <c r="C59" s="283" t="s">
        <v>544</v>
      </c>
      <c r="D59" s="270" t="s">
        <v>399</v>
      </c>
      <c r="E59" s="31"/>
      <c r="F59" s="21"/>
      <c r="G59" s="21"/>
      <c r="H59" s="21"/>
      <c r="I59" s="21"/>
      <c r="J59" s="21"/>
      <c r="K59" s="21"/>
      <c r="L59" s="21"/>
      <c r="M59" s="21"/>
      <c r="N59" s="32"/>
      <c r="O59" s="164"/>
      <c r="P59" s="165"/>
      <c r="Q59" s="165"/>
      <c r="R59" s="165"/>
      <c r="S59" s="165"/>
      <c r="T59" s="165"/>
      <c r="U59" s="41"/>
      <c r="V59" s="165"/>
      <c r="W59" s="165"/>
      <c r="X59" s="165"/>
      <c r="Y59" s="165"/>
      <c r="Z59" s="167"/>
      <c r="AA59" s="221"/>
      <c r="AB59" s="208"/>
      <c r="AC59" s="208"/>
      <c r="AD59" s="208"/>
      <c r="AE59" s="208"/>
      <c r="AF59" s="208"/>
      <c r="AG59" s="208"/>
      <c r="AH59" s="208"/>
      <c r="AI59" s="208"/>
      <c r="AJ59" s="208"/>
      <c r="AK59" s="208"/>
      <c r="AL59" s="224"/>
      <c r="AM59" s="243"/>
      <c r="AN59" s="235"/>
      <c r="AO59" s="235"/>
      <c r="AP59" s="235"/>
      <c r="AQ59" s="235"/>
      <c r="AR59" s="235"/>
      <c r="AS59" s="235"/>
      <c r="AT59" s="235"/>
      <c r="AU59" s="235"/>
      <c r="AV59" s="235"/>
      <c r="AW59" s="235"/>
      <c r="AX59" s="349" t="s">
        <v>871</v>
      </c>
      <c r="AY59" s="243"/>
      <c r="AZ59" s="235"/>
      <c r="BA59" s="235"/>
      <c r="BB59" s="235"/>
      <c r="BC59" s="235"/>
      <c r="BD59" s="235"/>
      <c r="BE59" s="235"/>
      <c r="BF59" s="235"/>
      <c r="BG59" s="235"/>
      <c r="BH59" s="235"/>
      <c r="BI59" s="235"/>
      <c r="BJ59" s="244" t="s">
        <v>690</v>
      </c>
      <c r="BK59" s="243"/>
      <c r="BL59" s="252"/>
      <c r="BM59" s="235"/>
      <c r="BN59" s="235"/>
      <c r="BO59" s="235"/>
      <c r="BP59" s="235"/>
      <c r="BQ59" s="235"/>
      <c r="BR59" s="235"/>
      <c r="BS59" s="235"/>
      <c r="BT59" s="235"/>
      <c r="BU59" s="235"/>
      <c r="BV59" s="244"/>
      <c r="BW59" s="235"/>
      <c r="BX59" s="254"/>
      <c r="BY59" s="254"/>
      <c r="BZ59" s="235"/>
      <c r="CA59" s="235"/>
      <c r="CB59" s="235"/>
      <c r="CC59" s="235"/>
      <c r="CD59" s="235"/>
      <c r="CE59" s="235"/>
      <c r="CF59" s="235"/>
      <c r="CG59" s="235"/>
      <c r="CH59" s="244"/>
      <c r="CI59" s="351"/>
      <c r="CJ59" s="254"/>
      <c r="CK59" s="259"/>
      <c r="CL59" s="235"/>
      <c r="CM59" s="235"/>
      <c r="CN59" s="235"/>
      <c r="CO59" s="235"/>
      <c r="CP59" s="235"/>
      <c r="CQ59" s="235"/>
      <c r="CR59" s="235"/>
      <c r="CS59" s="235"/>
      <c r="CT59" s="235"/>
    </row>
    <row r="60" spans="1:98" x14ac:dyDescent="0.25">
      <c r="A60" s="775"/>
      <c r="B60" s="262">
        <v>56</v>
      </c>
      <c r="C60" s="283" t="s">
        <v>545</v>
      </c>
      <c r="D60" s="270" t="s">
        <v>164</v>
      </c>
      <c r="E60" s="31"/>
      <c r="F60" s="21"/>
      <c r="G60" s="21"/>
      <c r="H60" s="21"/>
      <c r="I60" s="21"/>
      <c r="J60" s="21"/>
      <c r="K60" s="21"/>
      <c r="L60" s="21"/>
      <c r="M60" s="21"/>
      <c r="N60" s="32"/>
      <c r="O60" s="164"/>
      <c r="P60" s="165"/>
      <c r="Q60" s="37"/>
      <c r="R60" s="165"/>
      <c r="S60" s="165"/>
      <c r="T60" s="165"/>
      <c r="U60" s="165"/>
      <c r="V60" s="165"/>
      <c r="W60" s="165"/>
      <c r="X60" s="165"/>
      <c r="Y60" s="165"/>
      <c r="Z60" s="167"/>
      <c r="AA60" s="219"/>
      <c r="AB60" s="208"/>
      <c r="AC60" s="208"/>
      <c r="AD60" s="208"/>
      <c r="AE60" s="41"/>
      <c r="AF60" s="208"/>
      <c r="AG60" s="208"/>
      <c r="AH60" s="208"/>
      <c r="AI60" s="208"/>
      <c r="AJ60" s="208"/>
      <c r="AK60" s="208"/>
      <c r="AL60" s="223"/>
      <c r="AM60" s="245"/>
      <c r="AN60" s="235"/>
      <c r="AO60" s="235"/>
      <c r="AP60" s="235"/>
      <c r="AQ60" s="254" t="s">
        <v>691</v>
      </c>
      <c r="AR60" s="235"/>
      <c r="AS60" s="235"/>
      <c r="AT60" s="235"/>
      <c r="AU60" s="235"/>
      <c r="AV60" s="235"/>
      <c r="AW60" s="235"/>
      <c r="AX60" s="244"/>
      <c r="AY60" s="243"/>
      <c r="AZ60" s="235"/>
      <c r="BA60" s="235"/>
      <c r="BB60" s="235"/>
      <c r="BC60" s="254" t="s">
        <v>912</v>
      </c>
      <c r="BE60" s="235"/>
      <c r="BF60" s="235"/>
      <c r="BG60" s="235"/>
      <c r="BH60" s="235"/>
      <c r="BJ60" s="244" t="s">
        <v>690</v>
      </c>
      <c r="BK60" s="254"/>
      <c r="BL60" s="235"/>
      <c r="BM60" s="235"/>
      <c r="BN60" s="235"/>
      <c r="BO60" s="235"/>
      <c r="BP60" s="345"/>
      <c r="BQ60" s="235"/>
      <c r="BR60" s="235"/>
      <c r="BS60" s="254"/>
      <c r="BT60" s="235"/>
      <c r="BU60" s="235"/>
      <c r="BV60" s="244"/>
      <c r="BW60" s="235"/>
      <c r="BX60" s="235"/>
      <c r="BY60" s="235"/>
      <c r="BZ60" s="235"/>
      <c r="CA60" s="235"/>
      <c r="CB60" s="254"/>
      <c r="CC60" s="235"/>
      <c r="CD60" s="235"/>
      <c r="CE60" s="259"/>
      <c r="CF60" s="235"/>
      <c r="CG60" s="235"/>
      <c r="CH60" s="244"/>
      <c r="CI60" s="708" t="s">
        <v>1440</v>
      </c>
      <c r="CJ60" s="235"/>
      <c r="CK60" s="235"/>
      <c r="CL60" s="235"/>
      <c r="CM60" s="235"/>
      <c r="CN60" s="233"/>
      <c r="CO60" s="235"/>
      <c r="CP60" s="235"/>
      <c r="CQ60" s="259"/>
      <c r="CR60" s="235"/>
      <c r="CS60" s="235"/>
      <c r="CT60" s="235"/>
    </row>
    <row r="61" spans="1:98" x14ac:dyDescent="0.25">
      <c r="A61" s="775"/>
      <c r="B61" s="262">
        <v>57</v>
      </c>
      <c r="C61" s="283" t="s">
        <v>546</v>
      </c>
      <c r="D61" s="270" t="s">
        <v>165</v>
      </c>
      <c r="E61" s="53"/>
      <c r="F61" s="22"/>
      <c r="G61" s="22"/>
      <c r="H61" s="22"/>
      <c r="I61" s="22"/>
      <c r="J61" s="22"/>
      <c r="K61" s="22"/>
      <c r="L61" s="22"/>
      <c r="M61" s="22"/>
      <c r="N61" s="54"/>
      <c r="O61" s="164"/>
      <c r="P61" s="165"/>
      <c r="Q61" s="165"/>
      <c r="R61" s="37"/>
      <c r="S61" s="165"/>
      <c r="T61" s="165"/>
      <c r="U61" s="165"/>
      <c r="V61" s="165"/>
      <c r="W61" s="165"/>
      <c r="X61" s="165"/>
      <c r="Y61" s="165"/>
      <c r="Z61" s="167"/>
      <c r="AA61" s="219"/>
      <c r="AB61" s="208"/>
      <c r="AC61" s="208"/>
      <c r="AD61" s="208"/>
      <c r="AE61" s="208"/>
      <c r="AF61" s="254" t="s">
        <v>690</v>
      </c>
      <c r="AG61" s="208"/>
      <c r="AH61" s="208"/>
      <c r="AI61" s="208"/>
      <c r="AJ61" s="208"/>
      <c r="AK61" s="208"/>
      <c r="AL61" s="223"/>
      <c r="AM61" s="243"/>
      <c r="AN61" s="235"/>
      <c r="AO61" s="235"/>
      <c r="AP61" s="235"/>
      <c r="AQ61" s="235"/>
      <c r="AR61" s="254"/>
      <c r="AS61" s="235"/>
      <c r="AT61" s="235"/>
      <c r="AU61" s="235"/>
      <c r="AV61" s="235"/>
      <c r="AW61" s="235"/>
      <c r="AX61" s="244"/>
      <c r="AY61" s="243"/>
      <c r="AZ61" s="235"/>
      <c r="BA61" s="235"/>
      <c r="BB61" s="235"/>
      <c r="BC61" s="235"/>
      <c r="BD61" s="235"/>
      <c r="BE61" s="254" t="s">
        <v>1002</v>
      </c>
      <c r="BF61" s="235"/>
      <c r="BG61" s="235"/>
      <c r="BH61" s="235"/>
      <c r="BI61" s="235"/>
      <c r="BJ61" s="244"/>
      <c r="BK61" s="243"/>
      <c r="BL61" s="235"/>
      <c r="BM61" s="235"/>
      <c r="BN61" s="235"/>
      <c r="BO61" s="235"/>
      <c r="BP61" s="235"/>
      <c r="BQ61" s="235"/>
      <c r="BR61" s="235"/>
      <c r="BT61" s="254" t="s">
        <v>1107</v>
      </c>
      <c r="BU61" s="235"/>
      <c r="BV61" s="244"/>
      <c r="BW61" s="235"/>
      <c r="BX61" s="235"/>
      <c r="BY61" s="235"/>
      <c r="BZ61" s="235"/>
      <c r="CA61" s="235"/>
      <c r="CB61" s="235"/>
      <c r="CC61" s="235"/>
      <c r="CD61" s="235"/>
      <c r="CE61" s="235"/>
      <c r="CF61" s="233"/>
      <c r="CG61" s="235"/>
      <c r="CH61" s="244"/>
      <c r="CI61" s="708" t="s">
        <v>1441</v>
      </c>
      <c r="CJ61" s="235"/>
      <c r="CK61" s="235"/>
      <c r="CL61" s="235"/>
      <c r="CM61" s="235"/>
      <c r="CN61" s="235"/>
      <c r="CO61" s="235"/>
      <c r="CP61" s="235"/>
      <c r="CQ61" s="235"/>
      <c r="CR61" s="233"/>
      <c r="CS61" s="235"/>
      <c r="CT61" s="235"/>
    </row>
    <row r="62" spans="1:98" x14ac:dyDescent="0.25">
      <c r="A62" s="775"/>
      <c r="B62" s="262">
        <v>58</v>
      </c>
      <c r="C62" s="283" t="s">
        <v>547</v>
      </c>
      <c r="D62" s="270" t="s">
        <v>166</v>
      </c>
      <c r="E62" s="53"/>
      <c r="F62" s="22"/>
      <c r="G62" s="22"/>
      <c r="H62" s="22"/>
      <c r="I62" s="22"/>
      <c r="J62" s="22"/>
      <c r="K62" s="22"/>
      <c r="L62" s="22"/>
      <c r="M62" s="22"/>
      <c r="N62" s="54"/>
      <c r="O62" s="43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7"/>
      <c r="AA62" s="219"/>
      <c r="AB62" s="41"/>
      <c r="AC62" s="208"/>
      <c r="AD62" s="208"/>
      <c r="AE62" s="208"/>
      <c r="AF62" s="208"/>
      <c r="AG62" s="208"/>
      <c r="AH62" s="208"/>
      <c r="AI62" s="208"/>
      <c r="AJ62" s="208"/>
      <c r="AK62" s="208"/>
      <c r="AL62" s="223"/>
      <c r="AM62" s="243"/>
      <c r="AN62" s="235"/>
      <c r="AO62" s="235"/>
      <c r="AP62" s="254"/>
      <c r="AQ62" s="235"/>
      <c r="AR62" s="235"/>
      <c r="AS62" s="235"/>
      <c r="AT62" s="235"/>
      <c r="AU62" s="235"/>
      <c r="AV62" s="235"/>
      <c r="AW62" s="235"/>
      <c r="AX62" s="244"/>
      <c r="AY62" s="243"/>
      <c r="AZ62" s="235"/>
      <c r="BA62" s="393"/>
      <c r="BB62" s="235"/>
      <c r="BC62" s="235"/>
      <c r="BD62" s="235"/>
      <c r="BE62" s="235"/>
      <c r="BF62" s="235"/>
      <c r="BG62" s="235"/>
      <c r="BH62" s="235"/>
      <c r="BI62" s="235"/>
      <c r="BJ62" s="244"/>
      <c r="BK62" s="243"/>
      <c r="BL62" s="235"/>
      <c r="BM62" s="235"/>
      <c r="BN62" s="235"/>
      <c r="BO62" s="235"/>
      <c r="BP62" s="235"/>
      <c r="BQ62" s="235"/>
      <c r="BR62" s="235"/>
      <c r="BS62" s="235"/>
      <c r="BT62" s="235"/>
      <c r="BU62" s="235"/>
      <c r="BV62" s="244"/>
      <c r="BW62" s="235"/>
      <c r="BX62" s="235"/>
      <c r="BY62" s="235"/>
      <c r="BZ62" s="235"/>
      <c r="CA62" s="235"/>
      <c r="CB62" s="235"/>
      <c r="CC62" s="235"/>
      <c r="CD62" s="235"/>
      <c r="CE62" s="235"/>
      <c r="CF62" s="235"/>
      <c r="CG62" s="235"/>
      <c r="CH62" s="244"/>
      <c r="CI62" s="351"/>
      <c r="CJ62" s="235"/>
      <c r="CK62" s="235"/>
      <c r="CL62" s="235"/>
      <c r="CM62" s="235"/>
      <c r="CN62" s="235"/>
      <c r="CO62" s="235"/>
      <c r="CP62" s="235"/>
      <c r="CQ62" s="235"/>
      <c r="CR62" s="235"/>
      <c r="CS62" s="235"/>
      <c r="CT62" s="235"/>
    </row>
    <row r="63" spans="1:98" x14ac:dyDescent="0.25">
      <c r="A63" s="775"/>
      <c r="B63" s="262">
        <v>59</v>
      </c>
      <c r="C63" s="283" t="s">
        <v>548</v>
      </c>
      <c r="D63" s="270" t="s">
        <v>167</v>
      </c>
      <c r="E63" s="53"/>
      <c r="F63" s="22"/>
      <c r="G63" s="22"/>
      <c r="H63" s="22"/>
      <c r="I63" s="22"/>
      <c r="J63" s="22"/>
      <c r="K63" s="22"/>
      <c r="L63" s="22"/>
      <c r="M63" s="22"/>
      <c r="N63" s="54"/>
      <c r="O63" s="43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7"/>
      <c r="AA63" s="219"/>
      <c r="AB63" s="41"/>
      <c r="AC63" s="208"/>
      <c r="AD63" s="208"/>
      <c r="AE63" s="208"/>
      <c r="AF63" s="208"/>
      <c r="AG63" s="208"/>
      <c r="AH63" s="208"/>
      <c r="AI63" s="208"/>
      <c r="AJ63" s="208"/>
      <c r="AK63" s="208"/>
      <c r="AL63" s="223"/>
      <c r="AM63" s="243"/>
      <c r="AN63" s="235"/>
      <c r="AO63" s="235"/>
      <c r="AP63" s="254"/>
      <c r="AQ63" s="235"/>
      <c r="AR63" s="235"/>
      <c r="AS63" s="235"/>
      <c r="AT63" s="235"/>
      <c r="AU63" s="235"/>
      <c r="AV63" s="235"/>
      <c r="AW63" s="235"/>
      <c r="AX63" s="244"/>
      <c r="AY63" s="243"/>
      <c r="AZ63" s="235"/>
      <c r="BA63" s="393"/>
      <c r="BB63" s="235"/>
      <c r="BD63" s="235"/>
      <c r="BE63" s="235"/>
      <c r="BF63" s="235"/>
      <c r="BG63" s="235"/>
      <c r="BH63" s="235"/>
      <c r="BI63" s="235"/>
      <c r="BJ63" s="244"/>
      <c r="BK63" s="243"/>
      <c r="BL63" s="235"/>
      <c r="BM63" s="235"/>
      <c r="BN63" s="235"/>
      <c r="BO63" s="345"/>
      <c r="BP63" s="235"/>
      <c r="BQ63" s="235"/>
      <c r="BR63" s="235"/>
      <c r="BS63" s="235"/>
      <c r="BT63" s="235"/>
      <c r="BU63" s="235"/>
      <c r="BV63" s="244"/>
      <c r="BW63" s="235"/>
      <c r="BX63" s="235"/>
      <c r="BY63" s="235"/>
      <c r="BZ63" s="235"/>
      <c r="CA63" s="235"/>
      <c r="CB63" s="235"/>
      <c r="CC63" s="235"/>
      <c r="CD63" s="235"/>
      <c r="CE63" s="235"/>
      <c r="CF63" s="235"/>
      <c r="CG63" s="235"/>
      <c r="CH63" s="244"/>
      <c r="CI63" s="351"/>
      <c r="CJ63" s="235"/>
      <c r="CK63" s="235"/>
      <c r="CL63" s="235"/>
      <c r="CM63" s="235"/>
      <c r="CN63" s="235"/>
      <c r="CO63" s="235"/>
      <c r="CP63" s="235"/>
      <c r="CQ63" s="235"/>
      <c r="CR63" s="235"/>
      <c r="CS63" s="235"/>
      <c r="CT63" s="235"/>
    </row>
    <row r="64" spans="1:98" x14ac:dyDescent="0.25">
      <c r="A64" s="775"/>
      <c r="B64" s="262">
        <v>60</v>
      </c>
      <c r="C64" s="283" t="s">
        <v>549</v>
      </c>
      <c r="D64" s="270" t="s">
        <v>168</v>
      </c>
      <c r="E64" s="31"/>
      <c r="F64" s="21"/>
      <c r="G64" s="21"/>
      <c r="H64" s="21"/>
      <c r="I64" s="21"/>
      <c r="J64" s="21"/>
      <c r="K64" s="21"/>
      <c r="L64" s="21"/>
      <c r="M64" s="21"/>
      <c r="N64" s="32"/>
      <c r="O64" s="43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7"/>
      <c r="AA64" s="219"/>
      <c r="AB64" s="41"/>
      <c r="AC64" s="208"/>
      <c r="AD64" s="208"/>
      <c r="AE64" s="208"/>
      <c r="AF64" s="208"/>
      <c r="AG64" s="208"/>
      <c r="AH64" s="208"/>
      <c r="AI64" s="208"/>
      <c r="AJ64" s="208"/>
      <c r="AK64" s="208"/>
      <c r="AL64" s="223"/>
      <c r="AM64" s="243"/>
      <c r="AN64" s="235"/>
      <c r="AO64" s="254"/>
      <c r="AP64" s="235"/>
      <c r="AQ64" s="235"/>
      <c r="AR64" s="235"/>
      <c r="AS64" s="235"/>
      <c r="AT64" s="235"/>
      <c r="AU64" s="235"/>
      <c r="AV64" s="235"/>
      <c r="AW64" s="235"/>
      <c r="AX64" s="244"/>
      <c r="AY64" s="243"/>
      <c r="AZ64" s="235"/>
      <c r="BA64" s="235"/>
      <c r="BB64" s="235"/>
      <c r="BC64" s="254"/>
      <c r="BD64" s="235"/>
      <c r="BE64" s="235"/>
      <c r="BF64" s="235"/>
      <c r="BG64" s="235"/>
      <c r="BH64" s="235"/>
      <c r="BI64" s="235"/>
      <c r="BJ64" s="244"/>
      <c r="BK64" s="243"/>
      <c r="BL64" s="235"/>
      <c r="BM64" s="254"/>
      <c r="BN64" s="235"/>
      <c r="BO64" s="235"/>
      <c r="BP64" s="235"/>
      <c r="BQ64" s="235"/>
      <c r="BR64" s="235"/>
      <c r="BS64" s="235"/>
      <c r="BT64" s="235"/>
      <c r="BU64" s="235"/>
      <c r="BV64" s="244"/>
      <c r="BW64" s="235"/>
      <c r="BX64" s="235"/>
      <c r="BY64" s="235"/>
      <c r="BZ64" s="235"/>
      <c r="CA64" s="254"/>
      <c r="CB64" s="235"/>
      <c r="CC64" s="235"/>
      <c r="CD64" s="235"/>
      <c r="CE64" s="235"/>
      <c r="CF64" s="235"/>
      <c r="CG64" s="235"/>
      <c r="CH64" s="244"/>
      <c r="CI64" s="351"/>
      <c r="CJ64" s="235"/>
      <c r="CK64" s="235"/>
      <c r="CL64" s="235"/>
      <c r="CM64" s="233"/>
      <c r="CN64" s="235"/>
      <c r="CO64" s="235"/>
      <c r="CP64" s="235"/>
      <c r="CQ64" s="235"/>
      <c r="CR64" s="235"/>
      <c r="CS64" s="235"/>
      <c r="CT64" s="235"/>
    </row>
    <row r="65" spans="1:98" x14ac:dyDescent="0.25">
      <c r="A65" s="775"/>
      <c r="B65" s="262">
        <v>61</v>
      </c>
      <c r="C65" s="283" t="s">
        <v>550</v>
      </c>
      <c r="D65" s="270" t="s">
        <v>169</v>
      </c>
      <c r="E65" s="53"/>
      <c r="F65" s="22"/>
      <c r="G65" s="22"/>
      <c r="H65" s="22"/>
      <c r="I65" s="22"/>
      <c r="J65" s="22"/>
      <c r="K65" s="22"/>
      <c r="L65" s="22"/>
      <c r="M65" s="22"/>
      <c r="N65" s="54"/>
      <c r="O65" s="43"/>
      <c r="P65" s="165"/>
      <c r="Q65" s="37"/>
      <c r="R65" s="165"/>
      <c r="S65" s="165"/>
      <c r="T65" s="165"/>
      <c r="U65" s="165"/>
      <c r="V65" s="165"/>
      <c r="W65" s="165"/>
      <c r="X65" s="165"/>
      <c r="Y65" s="165"/>
      <c r="Z65" s="167"/>
      <c r="AA65" s="219"/>
      <c r="AB65" s="41"/>
      <c r="AC65" s="208"/>
      <c r="AD65" s="208"/>
      <c r="AE65" s="208"/>
      <c r="AF65" s="208"/>
      <c r="AG65" s="208"/>
      <c r="AH65" s="208"/>
      <c r="AI65" s="208"/>
      <c r="AJ65" s="208"/>
      <c r="AK65" s="208"/>
      <c r="AL65" s="223"/>
      <c r="AM65" s="243"/>
      <c r="AN65" s="235"/>
      <c r="AO65" s="254"/>
      <c r="AP65" s="235"/>
      <c r="AQ65" s="235"/>
      <c r="AR65" s="235"/>
      <c r="AS65" s="235"/>
      <c r="AT65" s="235"/>
      <c r="AU65" s="235"/>
      <c r="AV65" s="235"/>
      <c r="AW65" s="235"/>
      <c r="AX65" s="244"/>
      <c r="AY65" s="243"/>
      <c r="AZ65" s="235"/>
      <c r="BA65" s="235"/>
      <c r="BB65" s="235"/>
      <c r="BC65" s="254"/>
      <c r="BD65" s="235"/>
      <c r="BE65" s="235"/>
      <c r="BF65" s="235"/>
      <c r="BG65" s="235"/>
      <c r="BH65" s="235"/>
      <c r="BI65" s="235"/>
      <c r="BJ65" s="244"/>
      <c r="BK65" s="243"/>
      <c r="BL65" s="235"/>
      <c r="BM65" s="254"/>
      <c r="BN65" s="235"/>
      <c r="BO65" s="235"/>
      <c r="BP65" s="235"/>
      <c r="BQ65" s="235"/>
      <c r="BR65" s="235"/>
      <c r="BS65" s="235"/>
      <c r="BT65" s="235"/>
      <c r="BU65" s="235"/>
      <c r="BV65" s="244"/>
      <c r="BW65" s="235"/>
      <c r="BX65" s="235"/>
      <c r="BY65" s="235"/>
      <c r="BZ65" s="235"/>
      <c r="CA65" s="254"/>
      <c r="CB65" s="235"/>
      <c r="CC65" s="235"/>
      <c r="CD65" s="235"/>
      <c r="CE65" s="235"/>
      <c r="CF65" s="235"/>
      <c r="CG65" s="235"/>
      <c r="CH65" s="244"/>
      <c r="CI65" s="351"/>
      <c r="CJ65" s="235"/>
      <c r="CK65" s="235"/>
      <c r="CL65" s="235"/>
      <c r="CM65" s="233"/>
      <c r="CN65" s="235"/>
      <c r="CO65" s="235"/>
      <c r="CP65" s="235"/>
      <c r="CQ65" s="235"/>
      <c r="CR65" s="235"/>
      <c r="CS65" s="235"/>
      <c r="CT65" s="235"/>
    </row>
    <row r="66" spans="1:98" x14ac:dyDescent="0.25">
      <c r="A66" s="775"/>
      <c r="B66" s="262">
        <v>62</v>
      </c>
      <c r="C66" s="283" t="s">
        <v>551</v>
      </c>
      <c r="D66" s="270" t="s">
        <v>170</v>
      </c>
      <c r="E66" s="53"/>
      <c r="F66" s="22"/>
      <c r="G66" s="22"/>
      <c r="H66" s="22"/>
      <c r="I66" s="22"/>
      <c r="J66" s="22"/>
      <c r="K66" s="22"/>
      <c r="L66" s="22"/>
      <c r="M66" s="22"/>
      <c r="N66" s="54"/>
      <c r="O66" s="43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7"/>
      <c r="AA66" s="219"/>
      <c r="AB66" s="41"/>
      <c r="AC66" s="208"/>
      <c r="AD66" s="208"/>
      <c r="AE66" s="208"/>
      <c r="AF66" s="208"/>
      <c r="AG66" s="208"/>
      <c r="AH66" s="208"/>
      <c r="AI66" s="208"/>
      <c r="AJ66" s="208"/>
      <c r="AK66" s="208"/>
      <c r="AL66" s="223"/>
      <c r="AM66" s="243"/>
      <c r="AN66" s="235"/>
      <c r="AO66" s="254"/>
      <c r="AP66" s="235"/>
      <c r="AQ66" s="235"/>
      <c r="AR66" s="235"/>
      <c r="AS66" s="235"/>
      <c r="AT66" s="235"/>
      <c r="AU66" s="235"/>
      <c r="AV66" s="235"/>
      <c r="AW66" s="235"/>
      <c r="AX66" s="244"/>
      <c r="AY66" s="243"/>
      <c r="AZ66" s="235"/>
      <c r="BA66" s="235"/>
      <c r="BB66" s="235"/>
      <c r="BC66" s="254"/>
      <c r="BD66" s="235"/>
      <c r="BE66" s="235"/>
      <c r="BF66" s="235"/>
      <c r="BG66" s="235"/>
      <c r="BH66" s="235"/>
      <c r="BI66" s="235"/>
      <c r="BJ66" s="244"/>
      <c r="BK66" s="243"/>
      <c r="BL66" s="235"/>
      <c r="BM66" s="254"/>
      <c r="BN66" s="235"/>
      <c r="BO66" s="235"/>
      <c r="BP66" s="235"/>
      <c r="BQ66" s="235"/>
      <c r="BR66" s="235"/>
      <c r="BS66" s="235"/>
      <c r="BT66" s="235"/>
      <c r="BU66" s="235"/>
      <c r="BV66" s="244"/>
      <c r="BW66" s="235"/>
      <c r="BX66" s="235"/>
      <c r="BY66" s="235"/>
      <c r="BZ66" s="235"/>
      <c r="CA66" s="254"/>
      <c r="CB66" s="235"/>
      <c r="CC66" s="235"/>
      <c r="CD66" s="235"/>
      <c r="CE66" s="235"/>
      <c r="CF66" s="235"/>
      <c r="CG66" s="235"/>
      <c r="CH66" s="244"/>
      <c r="CI66" s="351"/>
      <c r="CJ66" s="235"/>
      <c r="CK66" s="235"/>
      <c r="CL66" s="235"/>
      <c r="CM66" s="233"/>
      <c r="CN66" s="235"/>
      <c r="CO66" s="235"/>
      <c r="CP66" s="235"/>
      <c r="CQ66" s="235"/>
      <c r="CR66" s="235"/>
      <c r="CS66" s="235"/>
      <c r="CT66" s="235"/>
    </row>
    <row r="67" spans="1:98" x14ac:dyDescent="0.25">
      <c r="A67" s="775"/>
      <c r="B67" s="262">
        <v>63</v>
      </c>
      <c r="C67" s="283" t="s">
        <v>552</v>
      </c>
      <c r="D67" s="270" t="s">
        <v>171</v>
      </c>
      <c r="E67" s="53"/>
      <c r="F67" s="22"/>
      <c r="G67" s="22"/>
      <c r="H67" s="22"/>
      <c r="I67" s="22"/>
      <c r="J67" s="22"/>
      <c r="K67" s="22"/>
      <c r="L67" s="22"/>
      <c r="M67" s="22"/>
      <c r="N67" s="54"/>
      <c r="O67" s="164"/>
      <c r="P67" s="37"/>
      <c r="Q67" s="165"/>
      <c r="R67" s="165"/>
      <c r="S67" s="165"/>
      <c r="T67" s="165"/>
      <c r="U67" s="165"/>
      <c r="V67" s="165"/>
      <c r="W67" s="165"/>
      <c r="X67" s="165"/>
      <c r="Y67" s="165"/>
      <c r="Z67" s="167"/>
      <c r="AA67" s="219"/>
      <c r="AB67" s="208"/>
      <c r="AC67" s="208"/>
      <c r="AD67" s="41"/>
      <c r="AE67" s="208"/>
      <c r="AF67" s="208"/>
      <c r="AG67" s="208"/>
      <c r="AH67" s="208"/>
      <c r="AI67" s="208"/>
      <c r="AJ67" s="208"/>
      <c r="AK67" s="208"/>
      <c r="AL67" s="223"/>
      <c r="AM67" s="243"/>
      <c r="AN67" s="235"/>
      <c r="AO67" s="254"/>
      <c r="AQ67" s="235"/>
      <c r="AR67" s="235"/>
      <c r="AS67" s="235"/>
      <c r="AT67" s="235"/>
      <c r="AU67" s="235"/>
      <c r="AV67" s="235"/>
      <c r="AW67" s="235"/>
      <c r="AX67" s="244"/>
      <c r="AY67" s="243"/>
      <c r="AZ67" s="235"/>
      <c r="BA67" s="235"/>
      <c r="BB67" s="345"/>
      <c r="BD67" s="235"/>
      <c r="BE67" s="254"/>
      <c r="BF67" s="235"/>
      <c r="BG67" s="235"/>
      <c r="BH67" s="235"/>
      <c r="BI67" s="235"/>
      <c r="BJ67" s="244"/>
      <c r="BK67" s="243"/>
      <c r="BL67" s="235"/>
      <c r="BN67" s="345"/>
      <c r="BO67" s="235"/>
      <c r="BP67" s="235"/>
      <c r="BQ67" s="235"/>
      <c r="BR67" s="254"/>
      <c r="BS67" s="235"/>
      <c r="BT67" s="235"/>
      <c r="BU67" s="235"/>
      <c r="BV67" s="244"/>
      <c r="BW67" s="235"/>
      <c r="BX67" s="235"/>
      <c r="BY67" s="235"/>
      <c r="BZ67" s="235"/>
      <c r="CA67" s="235"/>
      <c r="CB67" s="235"/>
      <c r="CC67" s="235"/>
      <c r="CD67" s="235"/>
      <c r="CE67" s="235"/>
      <c r="CF67" s="235"/>
      <c r="CG67" s="235"/>
      <c r="CH67" s="349"/>
      <c r="CI67" s="351"/>
      <c r="CJ67" s="235"/>
      <c r="CK67" s="235"/>
      <c r="CL67" s="235"/>
      <c r="CM67" s="235"/>
      <c r="CN67" s="235"/>
      <c r="CO67" s="235"/>
      <c r="CP67" s="235"/>
      <c r="CQ67" s="235"/>
      <c r="CR67" s="235"/>
      <c r="CS67" s="235"/>
      <c r="CT67" s="235"/>
    </row>
    <row r="68" spans="1:98" x14ac:dyDescent="0.25">
      <c r="A68" s="775"/>
      <c r="B68" s="262">
        <v>64</v>
      </c>
      <c r="C68" s="283" t="s">
        <v>553</v>
      </c>
      <c r="D68" s="270" t="s">
        <v>172</v>
      </c>
      <c r="E68" s="53"/>
      <c r="F68" s="22"/>
      <c r="G68" s="22"/>
      <c r="H68" s="22"/>
      <c r="I68" s="22"/>
      <c r="J68" s="22"/>
      <c r="K68" s="22"/>
      <c r="L68" s="22"/>
      <c r="M68" s="22"/>
      <c r="N68" s="54"/>
      <c r="O68" s="164"/>
      <c r="P68" s="165"/>
      <c r="Q68" s="165"/>
      <c r="R68" s="165"/>
      <c r="S68" s="41"/>
      <c r="T68" s="165"/>
      <c r="U68" s="165"/>
      <c r="V68" s="165"/>
      <c r="W68" s="165"/>
      <c r="X68" s="165"/>
      <c r="Y68" s="165"/>
      <c r="Z68" s="167"/>
      <c r="AA68" s="219"/>
      <c r="AB68" s="208"/>
      <c r="AC68" s="208"/>
      <c r="AD68" s="41"/>
      <c r="AE68" s="208"/>
      <c r="AF68" s="208"/>
      <c r="AG68" s="220"/>
      <c r="AH68" s="208"/>
      <c r="AI68" s="208"/>
      <c r="AJ68" s="208"/>
      <c r="AK68" s="208"/>
      <c r="AL68" s="223"/>
      <c r="AM68" s="243"/>
      <c r="AN68" s="235"/>
      <c r="AO68" s="235"/>
      <c r="AP68" s="254" t="s">
        <v>690</v>
      </c>
      <c r="AQ68" s="235"/>
      <c r="AR68" s="235"/>
      <c r="AS68" s="235"/>
      <c r="AT68" s="235"/>
      <c r="AU68" s="235"/>
      <c r="AV68" s="235"/>
      <c r="AW68" s="235"/>
      <c r="AX68" s="244"/>
      <c r="AY68" s="243"/>
      <c r="AZ68" s="235"/>
      <c r="BA68" s="235"/>
      <c r="BB68" s="235" t="s">
        <v>690</v>
      </c>
      <c r="BC68" s="254"/>
      <c r="BD68" s="235"/>
      <c r="BE68" s="235"/>
      <c r="BF68" s="235"/>
      <c r="BG68" s="235"/>
      <c r="BH68" s="235"/>
      <c r="BI68" s="235"/>
      <c r="BJ68" s="244"/>
      <c r="BK68" s="243"/>
      <c r="BL68" s="235"/>
      <c r="BM68" s="254"/>
      <c r="BN68" s="235"/>
      <c r="BO68" s="235"/>
      <c r="BP68" s="235"/>
      <c r="BQ68" s="235"/>
      <c r="BR68" s="235"/>
      <c r="BS68" s="235"/>
      <c r="BT68" s="235"/>
      <c r="BU68" s="235"/>
      <c r="BV68" s="244"/>
      <c r="BW68" s="235"/>
      <c r="BX68" s="235"/>
      <c r="BY68" s="254"/>
      <c r="BZ68" s="235"/>
      <c r="CA68" s="254"/>
      <c r="CB68" s="235"/>
      <c r="CC68" s="235"/>
      <c r="CD68" s="235"/>
      <c r="CE68" s="235"/>
      <c r="CF68" s="235"/>
      <c r="CG68" s="235"/>
      <c r="CH68" s="244"/>
      <c r="CI68" s="351"/>
      <c r="CJ68" s="254"/>
      <c r="CK68" s="259"/>
      <c r="CL68" s="235"/>
      <c r="CM68" s="259"/>
      <c r="CN68" s="235"/>
      <c r="CO68" s="235"/>
      <c r="CP68" s="235"/>
      <c r="CQ68" s="235"/>
      <c r="CR68" s="235"/>
      <c r="CS68" s="235"/>
      <c r="CT68" s="235"/>
    </row>
    <row r="69" spans="1:98" x14ac:dyDescent="0.25">
      <c r="A69" s="775"/>
      <c r="B69" s="262">
        <v>65</v>
      </c>
      <c r="C69" s="283" t="s">
        <v>554</v>
      </c>
      <c r="D69" s="270" t="s">
        <v>173</v>
      </c>
      <c r="E69" s="53"/>
      <c r="F69" s="22"/>
      <c r="G69" s="22"/>
      <c r="H69" s="22"/>
      <c r="I69" s="22"/>
      <c r="J69" s="22"/>
      <c r="K69" s="22"/>
      <c r="L69" s="22"/>
      <c r="M69" s="22"/>
      <c r="N69" s="54"/>
      <c r="O69" s="164"/>
      <c r="P69" s="37"/>
      <c r="Q69" s="165"/>
      <c r="R69" s="165"/>
      <c r="S69" s="165"/>
      <c r="T69" s="165"/>
      <c r="U69" s="165"/>
      <c r="V69" s="165"/>
      <c r="W69" s="165"/>
      <c r="X69" s="165"/>
      <c r="Y69" s="165"/>
      <c r="Z69" s="167"/>
      <c r="AA69" s="219"/>
      <c r="AB69" s="208"/>
      <c r="AC69" s="41"/>
      <c r="AD69" s="208"/>
      <c r="AE69" s="208"/>
      <c r="AF69" s="208"/>
      <c r="AG69" s="208"/>
      <c r="AH69" s="208"/>
      <c r="AI69" s="208"/>
      <c r="AJ69" s="208"/>
      <c r="AK69" s="208"/>
      <c r="AL69" s="223"/>
      <c r="AM69" s="243"/>
      <c r="AN69" s="235"/>
      <c r="AO69" s="254"/>
      <c r="AP69" s="235"/>
      <c r="AQ69" s="235"/>
      <c r="AR69" s="235"/>
      <c r="AS69" s="235"/>
      <c r="AT69" s="235"/>
      <c r="AU69" s="235"/>
      <c r="AV69" s="235"/>
      <c r="AW69" s="235"/>
      <c r="AX69" s="244"/>
      <c r="AY69" s="243"/>
      <c r="AZ69" s="235"/>
      <c r="BA69" s="254"/>
      <c r="BB69" s="235"/>
      <c r="BC69" s="235"/>
      <c r="BD69" s="235"/>
      <c r="BE69" s="235"/>
      <c r="BF69" s="235"/>
      <c r="BG69" s="235"/>
      <c r="BH69" s="235"/>
      <c r="BI69" s="235"/>
      <c r="BJ69" s="244"/>
      <c r="BK69" s="243"/>
      <c r="BL69" s="235"/>
      <c r="BM69" s="254"/>
      <c r="BN69" s="235"/>
      <c r="BO69" s="235"/>
      <c r="BP69" s="235"/>
      <c r="BQ69" s="235"/>
      <c r="BR69" s="235"/>
      <c r="BS69" s="235"/>
      <c r="BT69" s="235"/>
      <c r="BU69" s="235"/>
      <c r="BV69" s="244"/>
      <c r="BW69" s="235"/>
      <c r="BX69" s="235"/>
      <c r="BY69" s="254"/>
      <c r="BZ69" s="235"/>
      <c r="CA69" s="235"/>
      <c r="CB69" s="235"/>
      <c r="CC69" s="235"/>
      <c r="CD69" s="235"/>
      <c r="CE69" s="235"/>
      <c r="CF69" s="235"/>
      <c r="CG69" s="235"/>
      <c r="CH69" s="244"/>
      <c r="CI69" s="708" t="s">
        <v>1442</v>
      </c>
      <c r="CJ69" s="235"/>
      <c r="CK69" s="259"/>
      <c r="CL69" s="254"/>
      <c r="CM69" s="235"/>
      <c r="CN69" s="235"/>
      <c r="CO69" s="235"/>
      <c r="CP69" s="235"/>
      <c r="CQ69" s="235"/>
      <c r="CR69" s="235"/>
      <c r="CS69" s="235"/>
      <c r="CT69" s="235"/>
    </row>
    <row r="70" spans="1:98" x14ac:dyDescent="0.25">
      <c r="A70" s="775"/>
      <c r="B70" s="262">
        <v>66</v>
      </c>
      <c r="C70" s="283" t="s">
        <v>555</v>
      </c>
      <c r="D70" s="270" t="s">
        <v>395</v>
      </c>
      <c r="E70" s="53"/>
      <c r="F70" s="22"/>
      <c r="G70" s="22"/>
      <c r="H70" s="22"/>
      <c r="I70" s="22"/>
      <c r="J70" s="22"/>
      <c r="K70" s="22"/>
      <c r="L70" s="22"/>
      <c r="M70" s="22"/>
      <c r="N70" s="54"/>
      <c r="O70" s="164"/>
      <c r="P70" s="37"/>
      <c r="Q70" s="165"/>
      <c r="R70" s="165"/>
      <c r="S70" s="165"/>
      <c r="T70" s="165"/>
      <c r="U70" s="165"/>
      <c r="V70" s="165"/>
      <c r="W70" s="165"/>
      <c r="X70" s="165"/>
      <c r="Y70" s="165"/>
      <c r="Z70" s="167"/>
      <c r="AA70" s="219"/>
      <c r="AB70" s="208"/>
      <c r="AC70" s="41"/>
      <c r="AD70" s="208"/>
      <c r="AE70" s="208"/>
      <c r="AF70" s="208"/>
      <c r="AG70" s="208"/>
      <c r="AH70" s="208"/>
      <c r="AI70" s="208"/>
      <c r="AJ70" s="208"/>
      <c r="AK70" s="208"/>
      <c r="AL70" s="223"/>
      <c r="AM70" s="243"/>
      <c r="AN70" s="235"/>
      <c r="AO70" s="235"/>
      <c r="AP70" s="254"/>
      <c r="AQ70" s="235"/>
      <c r="AR70" s="235"/>
      <c r="AS70" s="235"/>
      <c r="AT70" s="235"/>
      <c r="AU70" s="235"/>
      <c r="AV70" s="235"/>
      <c r="AW70" s="235"/>
      <c r="AX70" s="244"/>
      <c r="AY70" s="243"/>
      <c r="AZ70" s="235"/>
      <c r="BA70" s="235"/>
      <c r="BB70" s="254"/>
      <c r="BC70" s="235"/>
      <c r="BD70" s="235"/>
      <c r="BE70" s="235"/>
      <c r="BF70" s="235"/>
      <c r="BG70" s="235"/>
      <c r="BH70" s="235"/>
      <c r="BI70" s="235"/>
      <c r="BJ70" s="244"/>
      <c r="BK70" s="243"/>
      <c r="BL70" s="235"/>
      <c r="BM70" s="254"/>
      <c r="BN70" s="235"/>
      <c r="BO70" s="235"/>
      <c r="BP70" s="235"/>
      <c r="BQ70" s="235"/>
      <c r="BR70" s="235"/>
      <c r="BS70" s="235"/>
      <c r="BT70" s="235"/>
      <c r="BU70" s="254" t="s">
        <v>1119</v>
      </c>
      <c r="BV70" s="244"/>
      <c r="BW70" s="235"/>
      <c r="BX70" s="235"/>
      <c r="BY70" s="235"/>
      <c r="BZ70" s="235"/>
      <c r="CA70" s="235"/>
      <c r="CB70" s="235"/>
      <c r="CC70" s="235"/>
      <c r="CD70" s="254"/>
      <c r="CE70" s="235"/>
      <c r="CF70" s="235"/>
      <c r="CG70" s="235"/>
      <c r="CH70" s="244"/>
      <c r="CI70" s="351"/>
      <c r="CJ70" s="235"/>
      <c r="CK70" s="259"/>
      <c r="CL70" s="254"/>
      <c r="CM70" s="235"/>
      <c r="CN70" s="235"/>
      <c r="CO70" s="235"/>
      <c r="CP70" s="259"/>
      <c r="CQ70" s="235"/>
      <c r="CR70" s="235"/>
      <c r="CS70" s="235"/>
      <c r="CT70" s="235"/>
    </row>
    <row r="71" spans="1:98" x14ac:dyDescent="0.25">
      <c r="A71" s="775"/>
      <c r="B71" s="262">
        <v>67</v>
      </c>
      <c r="C71" s="283" t="s">
        <v>556</v>
      </c>
      <c r="D71" s="270" t="s">
        <v>396</v>
      </c>
      <c r="E71" s="53"/>
      <c r="F71" s="22"/>
      <c r="G71" s="22"/>
      <c r="H71" s="22"/>
      <c r="I71" s="22"/>
      <c r="J71" s="22"/>
      <c r="K71" s="22"/>
      <c r="L71" s="22"/>
      <c r="M71" s="22"/>
      <c r="N71" s="54"/>
      <c r="O71" s="164"/>
      <c r="P71" s="165"/>
      <c r="Q71" s="165"/>
      <c r="R71" s="165"/>
      <c r="S71" s="41"/>
      <c r="T71" s="165"/>
      <c r="U71" s="165"/>
      <c r="V71" s="165"/>
      <c r="W71" s="165"/>
      <c r="X71" s="165"/>
      <c r="Y71" s="165"/>
      <c r="Z71" s="167"/>
      <c r="AA71" s="219"/>
      <c r="AB71" s="208"/>
      <c r="AC71" s="208"/>
      <c r="AD71" s="208"/>
      <c r="AE71" s="208"/>
      <c r="AF71" s="41"/>
      <c r="AG71" s="208"/>
      <c r="AH71" s="208"/>
      <c r="AI71" s="208"/>
      <c r="AJ71" s="208"/>
      <c r="AK71" s="208"/>
      <c r="AL71" s="223"/>
      <c r="AM71" s="243"/>
      <c r="AN71" s="235"/>
      <c r="AO71" s="235"/>
      <c r="AP71" s="254"/>
      <c r="AQ71" s="235"/>
      <c r="AR71" s="235"/>
      <c r="AS71" s="235"/>
      <c r="AT71" s="235"/>
      <c r="AU71" s="235"/>
      <c r="AV71" s="235"/>
      <c r="AW71" s="235"/>
      <c r="AX71" s="244"/>
      <c r="AY71" s="243"/>
      <c r="AZ71" s="235"/>
      <c r="BA71" s="235"/>
      <c r="BB71" s="254"/>
      <c r="BC71" s="235"/>
      <c r="BD71" s="235"/>
      <c r="BE71" s="235"/>
      <c r="BF71" s="235"/>
      <c r="BG71" s="235"/>
      <c r="BH71" s="235"/>
      <c r="BI71" s="235"/>
      <c r="BJ71" s="244"/>
      <c r="BK71" s="243"/>
      <c r="BL71" s="235"/>
      <c r="BM71" s="254"/>
      <c r="BN71" s="235"/>
      <c r="BO71" s="235"/>
      <c r="BP71" s="235"/>
      <c r="BQ71" s="235"/>
      <c r="BR71" s="235"/>
      <c r="BS71" s="235"/>
      <c r="BT71" s="235"/>
      <c r="BU71" s="235"/>
      <c r="BV71" s="244"/>
      <c r="BW71" s="235"/>
      <c r="BX71" s="235"/>
      <c r="BY71" s="254"/>
      <c r="BZ71" s="235"/>
      <c r="CA71" s="235"/>
      <c r="CB71" s="235"/>
      <c r="CC71" s="235"/>
      <c r="CD71" s="235"/>
      <c r="CE71" s="235"/>
      <c r="CF71" s="235"/>
      <c r="CG71" s="235"/>
      <c r="CH71" s="244"/>
      <c r="CI71" s="351"/>
      <c r="CJ71" s="235"/>
      <c r="CK71" s="259"/>
      <c r="CL71" s="254"/>
      <c r="CM71" s="235"/>
      <c r="CN71" s="235"/>
      <c r="CO71" s="235"/>
      <c r="CP71" s="235"/>
      <c r="CQ71" s="235"/>
      <c r="CR71" s="235"/>
      <c r="CS71" s="235"/>
      <c r="CT71" s="235"/>
    </row>
    <row r="72" spans="1:98" x14ac:dyDescent="0.25">
      <c r="A72" s="775"/>
      <c r="B72" s="262">
        <v>68</v>
      </c>
      <c r="C72" s="283" t="s">
        <v>557</v>
      </c>
      <c r="D72" s="270" t="s">
        <v>175</v>
      </c>
      <c r="E72" s="53"/>
      <c r="F72" s="22"/>
      <c r="G72" s="22"/>
      <c r="H72" s="22"/>
      <c r="I72" s="22"/>
      <c r="J72" s="22"/>
      <c r="K72" s="22"/>
      <c r="L72" s="22"/>
      <c r="M72" s="22"/>
      <c r="N72" s="54"/>
      <c r="O72" s="164"/>
      <c r="P72" s="165"/>
      <c r="Q72" s="165"/>
      <c r="R72" s="165"/>
      <c r="S72" s="41"/>
      <c r="T72" s="165"/>
      <c r="U72" s="165"/>
      <c r="V72" s="165"/>
      <c r="W72" s="165"/>
      <c r="X72" s="165"/>
      <c r="Y72" s="165"/>
      <c r="Z72" s="167"/>
      <c r="AA72" s="219"/>
      <c r="AB72" s="208"/>
      <c r="AC72" s="208"/>
      <c r="AD72" s="208"/>
      <c r="AE72" s="208"/>
      <c r="AF72" s="41"/>
      <c r="AG72" s="208"/>
      <c r="AH72" s="208"/>
      <c r="AI72" s="208"/>
      <c r="AJ72" s="208"/>
      <c r="AK72" s="208"/>
      <c r="AL72" s="223"/>
      <c r="AM72" s="243"/>
      <c r="AN72" s="235"/>
      <c r="AO72" s="235"/>
      <c r="AP72" s="254"/>
      <c r="AQ72" s="235"/>
      <c r="AR72" s="235"/>
      <c r="AS72" s="235"/>
      <c r="AT72" s="235"/>
      <c r="AU72" s="235"/>
      <c r="AV72" s="235"/>
      <c r="AW72" s="235"/>
      <c r="AX72" s="244"/>
      <c r="AY72" s="243"/>
      <c r="AZ72" s="235"/>
      <c r="BA72" s="235"/>
      <c r="BB72" s="254"/>
      <c r="BC72" s="235"/>
      <c r="BD72" s="235"/>
      <c r="BE72" s="235"/>
      <c r="BF72" s="235"/>
      <c r="BG72" s="235"/>
      <c r="BH72" s="235"/>
      <c r="BI72" s="235"/>
      <c r="BJ72" s="244"/>
      <c r="BK72" s="243"/>
      <c r="BL72" s="235"/>
      <c r="BM72" s="254"/>
      <c r="BN72" s="235"/>
      <c r="BO72" s="235"/>
      <c r="BP72" s="235"/>
      <c r="BQ72" s="235"/>
      <c r="BR72" s="235"/>
      <c r="BS72" s="235"/>
      <c r="BT72" s="235"/>
      <c r="BU72" s="235"/>
      <c r="BV72" s="244"/>
      <c r="BW72" s="235"/>
      <c r="BX72" s="235"/>
      <c r="BY72" s="235"/>
      <c r="BZ72" s="235"/>
      <c r="CA72" s="235"/>
      <c r="CB72" s="235"/>
      <c r="CC72" s="235"/>
      <c r="CD72" s="235"/>
      <c r="CE72" s="235"/>
      <c r="CF72" s="235"/>
      <c r="CG72" s="235"/>
      <c r="CH72" s="244"/>
      <c r="CI72" s="351"/>
      <c r="CJ72" s="235"/>
      <c r="CK72" s="235"/>
      <c r="CL72" s="254"/>
      <c r="CM72" s="235"/>
      <c r="CN72" s="235"/>
      <c r="CO72" s="235"/>
      <c r="CP72" s="235"/>
      <c r="CQ72" s="235"/>
      <c r="CR72" s="235"/>
      <c r="CS72" s="235"/>
      <c r="CT72" s="235"/>
    </row>
    <row r="73" spans="1:98" x14ac:dyDescent="0.25">
      <c r="A73" s="775"/>
      <c r="B73" s="262">
        <v>69</v>
      </c>
      <c r="C73" s="283" t="s">
        <v>558</v>
      </c>
      <c r="D73" s="270" t="s">
        <v>176</v>
      </c>
      <c r="E73" s="53"/>
      <c r="F73" s="22"/>
      <c r="G73" s="22"/>
      <c r="H73" s="22"/>
      <c r="I73" s="22"/>
      <c r="J73" s="22"/>
      <c r="K73" s="22"/>
      <c r="L73" s="22"/>
      <c r="M73" s="22"/>
      <c r="N73" s="54"/>
      <c r="O73" s="164"/>
      <c r="P73" s="37"/>
      <c r="Q73" s="165"/>
      <c r="R73" s="165"/>
      <c r="S73" s="165"/>
      <c r="T73" s="165"/>
      <c r="U73" s="165"/>
      <c r="V73" s="165"/>
      <c r="W73" s="165"/>
      <c r="X73" s="165"/>
      <c r="Y73" s="165"/>
      <c r="Z73" s="167"/>
      <c r="AA73" s="219"/>
      <c r="AB73" s="208"/>
      <c r="AC73" s="208"/>
      <c r="AD73" s="208"/>
      <c r="AE73" s="220"/>
      <c r="AF73" s="41"/>
      <c r="AG73" s="208"/>
      <c r="AH73" s="208"/>
      <c r="AI73" s="208"/>
      <c r="AJ73" s="208"/>
      <c r="AK73" s="208"/>
      <c r="AL73" s="223"/>
      <c r="AM73" s="243"/>
      <c r="AN73" s="235"/>
      <c r="AO73" s="235"/>
      <c r="AP73" s="235"/>
      <c r="AQ73" s="235"/>
      <c r="AR73" s="235"/>
      <c r="AS73" s="254"/>
      <c r="AT73" s="235"/>
      <c r="AU73" s="235"/>
      <c r="AV73" s="235"/>
      <c r="AW73" s="235"/>
      <c r="AX73" s="244"/>
      <c r="AY73" s="243"/>
      <c r="AZ73" s="235"/>
      <c r="BA73" s="235"/>
      <c r="BB73" s="235"/>
      <c r="BC73" s="235"/>
      <c r="BD73" s="235"/>
      <c r="BE73" s="235"/>
      <c r="BF73" s="235"/>
      <c r="BG73" s="235"/>
      <c r="BH73" s="235"/>
      <c r="BI73" s="235"/>
      <c r="BJ73" s="244"/>
      <c r="BK73" s="254"/>
      <c r="BL73" s="235"/>
      <c r="BM73" s="235"/>
      <c r="BN73" s="235"/>
      <c r="BO73" s="235"/>
      <c r="BP73" s="235"/>
      <c r="BQ73" s="235"/>
      <c r="BR73" s="235"/>
      <c r="BS73" s="235"/>
      <c r="BT73" s="235"/>
      <c r="BU73" s="235"/>
      <c r="BV73" s="244"/>
      <c r="BX73" s="254"/>
      <c r="BY73" s="235"/>
      <c r="BZ73" s="235"/>
      <c r="CA73" s="235"/>
      <c r="CB73" s="235"/>
      <c r="CC73" s="235"/>
      <c r="CD73" s="235"/>
      <c r="CE73" s="235"/>
      <c r="CF73" s="235"/>
      <c r="CG73" s="235"/>
      <c r="CH73" s="244"/>
      <c r="CJ73" s="254"/>
      <c r="CK73" s="235"/>
      <c r="CL73" s="235"/>
      <c r="CM73" s="235"/>
      <c r="CN73" s="235"/>
      <c r="CO73" s="235"/>
      <c r="CP73" s="235"/>
      <c r="CQ73" s="235"/>
      <c r="CR73" s="235"/>
      <c r="CS73" s="235"/>
      <c r="CT73" s="235"/>
    </row>
    <row r="74" spans="1:98" x14ac:dyDescent="0.25">
      <c r="A74" s="775"/>
      <c r="B74" s="262">
        <v>70</v>
      </c>
      <c r="C74" s="283" t="s">
        <v>559</v>
      </c>
      <c r="D74" s="270" t="s">
        <v>177</v>
      </c>
      <c r="E74" s="53"/>
      <c r="F74" s="22"/>
      <c r="G74" s="22"/>
      <c r="H74" s="22"/>
      <c r="I74" s="22"/>
      <c r="J74" s="22"/>
      <c r="K74" s="22"/>
      <c r="L74" s="22"/>
      <c r="M74" s="22"/>
      <c r="N74" s="54"/>
      <c r="O74" s="164"/>
      <c r="P74" s="37"/>
      <c r="Q74" s="165"/>
      <c r="R74" s="165"/>
      <c r="S74" s="165"/>
      <c r="T74" s="165"/>
      <c r="U74" s="165"/>
      <c r="V74" s="165"/>
      <c r="W74" s="165"/>
      <c r="X74" s="165"/>
      <c r="Y74" s="165"/>
      <c r="Z74" s="167"/>
      <c r="AA74" s="219"/>
      <c r="AB74" s="208"/>
      <c r="AC74" s="208"/>
      <c r="AD74" s="208"/>
      <c r="AE74" s="208"/>
      <c r="AF74" s="41"/>
      <c r="AG74" s="208"/>
      <c r="AH74" s="208"/>
      <c r="AI74" s="208"/>
      <c r="AJ74" s="208"/>
      <c r="AK74" s="208"/>
      <c r="AL74" s="223"/>
      <c r="AM74" s="243"/>
      <c r="AN74" s="235"/>
      <c r="AO74" s="235"/>
      <c r="AP74" s="235"/>
      <c r="AQ74" s="235"/>
      <c r="AR74" s="235"/>
      <c r="AS74" s="254"/>
      <c r="AT74" s="235"/>
      <c r="AU74" s="235"/>
      <c r="AV74" s="235"/>
      <c r="AW74" s="235"/>
      <c r="AX74" s="244"/>
      <c r="AY74" s="243"/>
      <c r="AZ74" s="235"/>
      <c r="BA74" s="235"/>
      <c r="BB74" s="235"/>
      <c r="BC74" s="235"/>
      <c r="BD74" s="235"/>
      <c r="BE74" s="235"/>
      <c r="BF74" s="235"/>
      <c r="BG74" s="235"/>
      <c r="BH74" s="235"/>
      <c r="BI74" s="235"/>
      <c r="BJ74" s="244"/>
      <c r="BL74" s="235"/>
      <c r="BM74" s="254"/>
      <c r="BN74" s="235"/>
      <c r="BO74" s="235"/>
      <c r="BP74" s="235"/>
      <c r="BQ74" s="235"/>
      <c r="BR74" s="235"/>
      <c r="BS74" s="235"/>
      <c r="BT74" s="235"/>
      <c r="BU74" s="235"/>
      <c r="BV74" s="244"/>
      <c r="BW74" s="235"/>
      <c r="BX74" s="235"/>
      <c r="BY74" s="254"/>
      <c r="BZ74" s="235"/>
      <c r="CA74" s="235"/>
      <c r="CB74" s="235"/>
      <c r="CC74" s="235"/>
      <c r="CD74" s="235"/>
      <c r="CE74" s="235"/>
      <c r="CF74" s="235"/>
      <c r="CG74" s="235"/>
      <c r="CH74" s="244"/>
      <c r="CI74" s="351"/>
      <c r="CJ74" s="254"/>
      <c r="CK74" s="259"/>
      <c r="CL74" s="235"/>
      <c r="CM74" s="235"/>
      <c r="CN74" s="235"/>
      <c r="CO74" s="235"/>
      <c r="CP74" s="235"/>
      <c r="CQ74" s="235"/>
      <c r="CR74" s="235"/>
      <c r="CS74" s="235"/>
      <c r="CT74" s="235"/>
    </row>
    <row r="75" spans="1:98" x14ac:dyDescent="0.25">
      <c r="A75" s="775"/>
      <c r="B75" s="262">
        <v>71</v>
      </c>
      <c r="C75" s="283" t="s">
        <v>560</v>
      </c>
      <c r="D75" s="270" t="s">
        <v>178</v>
      </c>
      <c r="E75" s="53"/>
      <c r="F75" s="22"/>
      <c r="G75" s="22"/>
      <c r="H75" s="22"/>
      <c r="I75" s="22"/>
      <c r="J75" s="22"/>
      <c r="K75" s="22"/>
      <c r="L75" s="22"/>
      <c r="M75" s="22"/>
      <c r="N75" s="54"/>
      <c r="O75" s="43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7"/>
      <c r="AA75" s="219"/>
      <c r="AB75" s="41"/>
      <c r="AC75" s="208"/>
      <c r="AD75" s="208"/>
      <c r="AE75" s="208"/>
      <c r="AF75" s="208"/>
      <c r="AG75" s="208"/>
      <c r="AH75" s="208"/>
      <c r="AI75" s="208"/>
      <c r="AJ75" s="208"/>
      <c r="AK75" s="208"/>
      <c r="AL75" s="223"/>
      <c r="AM75" s="243"/>
      <c r="AN75" s="254" t="s">
        <v>690</v>
      </c>
      <c r="AO75" s="235"/>
      <c r="AP75" s="235"/>
      <c r="AQ75" s="235"/>
      <c r="AR75" s="235"/>
      <c r="AS75" s="235"/>
      <c r="AT75" s="235"/>
      <c r="AU75" s="235"/>
      <c r="AV75" s="235"/>
      <c r="AW75" s="235"/>
      <c r="AX75" s="244"/>
      <c r="AY75" s="243"/>
      <c r="AZ75" s="235" t="s">
        <v>690</v>
      </c>
      <c r="BA75" s="235"/>
      <c r="BB75" s="254"/>
      <c r="BC75" s="235"/>
      <c r="BD75" s="235"/>
      <c r="BE75" s="235"/>
      <c r="BF75" s="235"/>
      <c r="BG75" s="235"/>
      <c r="BH75" s="235"/>
      <c r="BI75" s="235"/>
      <c r="BJ75" s="244"/>
      <c r="BK75" s="243"/>
      <c r="BL75" s="235"/>
      <c r="BM75" s="235"/>
      <c r="BN75" s="235"/>
      <c r="BO75" s="235"/>
      <c r="BP75" s="254"/>
      <c r="BQ75" s="235"/>
      <c r="BR75" s="235"/>
      <c r="BS75" s="235"/>
      <c r="BT75" s="235"/>
      <c r="BU75" s="235"/>
      <c r="BV75" s="244"/>
      <c r="BW75" s="235"/>
      <c r="BX75" s="235"/>
      <c r="BY75" s="235"/>
      <c r="BZ75" s="235"/>
      <c r="CA75" s="235"/>
      <c r="CB75" s="235"/>
      <c r="CC75" s="235"/>
      <c r="CD75" s="235"/>
      <c r="CE75" s="235"/>
      <c r="CF75" s="235"/>
      <c r="CG75" s="235"/>
      <c r="CH75" s="244"/>
      <c r="CI75" s="351"/>
      <c r="CJ75" s="235"/>
      <c r="CK75" s="235"/>
      <c r="CL75" s="235"/>
      <c r="CM75" s="235"/>
      <c r="CN75" s="235"/>
      <c r="CO75" s="235"/>
      <c r="CP75" s="235"/>
      <c r="CQ75" s="235"/>
      <c r="CR75" s="235"/>
      <c r="CS75" s="235"/>
      <c r="CT75" s="235"/>
    </row>
    <row r="76" spans="1:98" x14ac:dyDescent="0.25">
      <c r="A76" s="775"/>
      <c r="B76" s="262">
        <v>72</v>
      </c>
      <c r="C76" s="283" t="s">
        <v>561</v>
      </c>
      <c r="D76" s="270" t="s">
        <v>455</v>
      </c>
      <c r="E76" s="53"/>
      <c r="F76" s="22"/>
      <c r="G76" s="22"/>
      <c r="H76" s="22"/>
      <c r="I76" s="22"/>
      <c r="J76" s="22"/>
      <c r="K76" s="22"/>
      <c r="L76" s="22"/>
      <c r="M76" s="22"/>
      <c r="N76" s="54"/>
      <c r="O76" s="164"/>
      <c r="P76" s="37"/>
      <c r="Q76" s="165"/>
      <c r="R76" s="165"/>
      <c r="S76" s="165"/>
      <c r="T76" s="165"/>
      <c r="U76" s="165"/>
      <c r="V76" s="165"/>
      <c r="W76" s="165"/>
      <c r="X76" s="165"/>
      <c r="Y76" s="165"/>
      <c r="Z76" s="167"/>
      <c r="AA76" s="219"/>
      <c r="AB76" s="208"/>
      <c r="AC76" s="220"/>
      <c r="AD76" s="220"/>
      <c r="AE76" s="208"/>
      <c r="AF76" s="41"/>
      <c r="AG76" s="208"/>
      <c r="AH76" s="208"/>
      <c r="AI76" s="208"/>
      <c r="AJ76" s="208"/>
      <c r="AK76" s="208"/>
      <c r="AL76" s="223"/>
      <c r="AM76" s="243"/>
      <c r="AN76" s="235"/>
      <c r="AO76" s="235"/>
      <c r="AP76" s="235"/>
      <c r="AQ76" s="235"/>
      <c r="AR76" s="235"/>
      <c r="AS76" s="254"/>
      <c r="AT76" s="235"/>
      <c r="AU76" s="235"/>
      <c r="AV76" s="235"/>
      <c r="AW76" s="235"/>
      <c r="AX76" s="244"/>
      <c r="AY76" s="243"/>
      <c r="AZ76" s="235"/>
      <c r="BA76" s="235"/>
      <c r="BB76" s="235"/>
      <c r="BC76" s="235"/>
      <c r="BD76" s="235"/>
      <c r="BE76" s="235"/>
      <c r="BF76" s="235"/>
      <c r="BG76" s="254" t="s">
        <v>924</v>
      </c>
      <c r="BH76" s="235"/>
      <c r="BI76" s="235"/>
      <c r="BJ76" s="244"/>
      <c r="BK76" s="243"/>
      <c r="BL76" s="235"/>
      <c r="BM76" s="235"/>
      <c r="BN76" s="235"/>
      <c r="BO76" s="235"/>
      <c r="BP76" s="235"/>
      <c r="BQ76" s="235"/>
      <c r="BR76" s="235"/>
      <c r="BS76" s="235"/>
      <c r="BT76" s="235"/>
      <c r="BV76" s="244"/>
      <c r="BW76" s="254"/>
      <c r="BX76" s="235"/>
      <c r="BY76" s="235"/>
      <c r="BZ76" s="235"/>
      <c r="CA76" s="235"/>
      <c r="CB76" s="235"/>
      <c r="CC76" s="235"/>
      <c r="CD76" s="235"/>
      <c r="CE76" s="235"/>
      <c r="CF76" s="235"/>
      <c r="CG76" s="235"/>
      <c r="CH76" s="244"/>
      <c r="CI76" s="708"/>
      <c r="CJ76" s="235"/>
      <c r="CK76" s="235"/>
      <c r="CL76" s="235"/>
      <c r="CM76" s="235"/>
      <c r="CN76" s="235"/>
      <c r="CO76" s="235"/>
      <c r="CP76" s="235"/>
      <c r="CQ76" s="235"/>
      <c r="CR76" s="235"/>
      <c r="CS76" s="235"/>
      <c r="CT76" s="235"/>
    </row>
    <row r="77" spans="1:98" x14ac:dyDescent="0.25">
      <c r="A77" s="775"/>
      <c r="B77" s="262">
        <v>73</v>
      </c>
      <c r="C77" s="283" t="s">
        <v>562</v>
      </c>
      <c r="D77" s="271" t="s">
        <v>692</v>
      </c>
      <c r="E77" s="53"/>
      <c r="F77" s="22"/>
      <c r="G77" s="22"/>
      <c r="H77" s="22"/>
      <c r="I77" s="22"/>
      <c r="J77" s="22"/>
      <c r="K77" s="22"/>
      <c r="L77" s="22"/>
      <c r="M77" s="22"/>
      <c r="N77" s="54"/>
      <c r="O77" s="164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7"/>
      <c r="AA77" s="219"/>
      <c r="AB77" s="208"/>
      <c r="AC77" s="208"/>
      <c r="AD77" s="208"/>
      <c r="AE77" s="208"/>
      <c r="AF77" s="208"/>
      <c r="AG77" s="208"/>
      <c r="AH77" s="208"/>
      <c r="AI77" s="208"/>
      <c r="AJ77" s="208"/>
      <c r="AK77" s="208"/>
      <c r="AL77" s="223"/>
      <c r="AM77" s="243"/>
      <c r="AN77" s="235"/>
      <c r="AO77" s="254"/>
      <c r="AP77" s="235"/>
      <c r="AQ77" s="235"/>
      <c r="AR77" s="235"/>
      <c r="AS77" s="235"/>
      <c r="AT77" s="235"/>
      <c r="AU77" s="235"/>
      <c r="AV77" s="235"/>
      <c r="AW77" s="235"/>
      <c r="AX77" s="244"/>
      <c r="AY77" s="243"/>
      <c r="AZ77" s="235"/>
      <c r="BA77" s="235"/>
      <c r="BB77" s="235"/>
      <c r="BC77" s="254"/>
      <c r="BD77" s="235"/>
      <c r="BE77" s="235"/>
      <c r="BF77" s="235"/>
      <c r="BG77" s="235"/>
      <c r="BH77" s="235"/>
      <c r="BI77" s="235"/>
      <c r="BJ77" s="244"/>
      <c r="BK77" s="243"/>
      <c r="BL77" s="235"/>
      <c r="BM77" s="235"/>
      <c r="BN77" s="235"/>
      <c r="BO77" s="235"/>
      <c r="BP77" s="235"/>
      <c r="BQ77" s="235"/>
      <c r="BS77" s="235"/>
      <c r="BT77" s="235"/>
      <c r="BU77" s="235"/>
      <c r="BV77" s="244"/>
      <c r="BW77" s="254"/>
      <c r="BX77" s="235"/>
      <c r="BY77" s="235"/>
      <c r="BZ77" s="235"/>
      <c r="CA77" s="235"/>
      <c r="CB77" s="235"/>
      <c r="CC77" s="235"/>
      <c r="CD77" s="235"/>
      <c r="CE77" s="235"/>
      <c r="CF77" s="235"/>
      <c r="CG77" s="235"/>
      <c r="CH77" s="244"/>
      <c r="CI77" s="686"/>
      <c r="CJ77" s="235"/>
      <c r="CK77" s="235"/>
      <c r="CL77" s="235"/>
      <c r="CM77" s="235"/>
      <c r="CN77" s="235"/>
      <c r="CO77" s="235"/>
      <c r="CP77" s="235"/>
      <c r="CQ77" s="235"/>
      <c r="CR77" s="235"/>
      <c r="CS77" s="235"/>
      <c r="CT77" s="235"/>
    </row>
    <row r="78" spans="1:98" ht="15.75" thickBot="1" x14ac:dyDescent="0.3">
      <c r="A78" s="776"/>
      <c r="B78" s="281">
        <v>74</v>
      </c>
      <c r="C78" s="284" t="s">
        <v>563</v>
      </c>
      <c r="D78" s="270" t="s">
        <v>180</v>
      </c>
      <c r="E78" s="53"/>
      <c r="F78" s="22"/>
      <c r="G78" s="22"/>
      <c r="H78" s="22"/>
      <c r="I78" s="22"/>
      <c r="J78" s="22"/>
      <c r="K78" s="22"/>
      <c r="L78" s="22"/>
      <c r="M78" s="22"/>
      <c r="N78" s="54"/>
      <c r="O78" s="171"/>
      <c r="P78" s="169"/>
      <c r="Q78" s="226"/>
      <c r="R78" s="227"/>
      <c r="S78" s="169"/>
      <c r="T78" s="169"/>
      <c r="U78" s="169"/>
      <c r="V78" s="169"/>
      <c r="W78" s="169"/>
      <c r="X78" s="169"/>
      <c r="Y78" s="169"/>
      <c r="Z78" s="170"/>
      <c r="AA78" s="219"/>
      <c r="AB78" s="208"/>
      <c r="AC78" s="208"/>
      <c r="AD78" s="208"/>
      <c r="AE78" s="41"/>
      <c r="AF78" s="41"/>
      <c r="AG78" s="208"/>
      <c r="AH78" s="208"/>
      <c r="AI78" s="208"/>
      <c r="AJ78" s="208"/>
      <c r="AK78" s="208"/>
      <c r="AL78" s="223"/>
      <c r="AM78" s="247"/>
      <c r="AN78" s="248"/>
      <c r="AO78" s="248"/>
      <c r="AP78" s="248"/>
      <c r="AQ78" s="248"/>
      <c r="AR78" s="248"/>
      <c r="AS78" s="248"/>
      <c r="AT78" s="248"/>
      <c r="AU78" s="248"/>
      <c r="AV78" s="248"/>
      <c r="AW78" s="248"/>
      <c r="AX78" s="249"/>
      <c r="AY78" s="247"/>
      <c r="AZ78" s="248"/>
      <c r="BA78" s="318"/>
      <c r="BB78" s="248"/>
      <c r="BC78" s="248"/>
      <c r="BD78" s="248"/>
      <c r="BE78" s="248"/>
      <c r="BF78" s="318"/>
      <c r="BG78" s="318"/>
      <c r="BH78" s="248"/>
      <c r="BI78" s="248"/>
      <c r="BJ78" s="249"/>
      <c r="BK78" s="247"/>
      <c r="BL78" s="248"/>
      <c r="BM78" s="248"/>
      <c r="BN78" s="248"/>
      <c r="BO78" s="248"/>
      <c r="BP78" s="248"/>
      <c r="BQ78" s="248"/>
      <c r="BR78" s="248"/>
      <c r="BS78" s="248"/>
      <c r="BT78" s="248"/>
      <c r="BU78" s="318"/>
      <c r="BV78" s="249"/>
      <c r="BW78" s="235"/>
      <c r="BX78" s="235"/>
      <c r="BY78" s="235"/>
      <c r="BZ78" s="235"/>
      <c r="CA78" s="254"/>
      <c r="CB78" s="235"/>
      <c r="CC78" s="235"/>
      <c r="CD78" s="235"/>
      <c r="CE78" s="235"/>
      <c r="CF78" s="235"/>
      <c r="CG78" s="235"/>
      <c r="CH78" s="244"/>
      <c r="CI78" s="351"/>
      <c r="CJ78" s="235"/>
      <c r="CK78" s="235"/>
      <c r="CL78" s="235"/>
      <c r="CM78" s="233"/>
      <c r="CN78" s="235"/>
      <c r="CO78" s="235"/>
      <c r="CP78" s="235"/>
      <c r="CQ78" s="235"/>
      <c r="CR78" s="235"/>
      <c r="CS78" s="235"/>
      <c r="CT78" s="235"/>
    </row>
    <row r="79" spans="1:98" ht="15.75" thickBot="1" x14ac:dyDescent="0.3">
      <c r="A79" s="287"/>
      <c r="B79" s="288"/>
      <c r="C79" s="289"/>
      <c r="D79" s="272" t="s">
        <v>107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239"/>
      <c r="AN79" s="239"/>
      <c r="AO79" s="239"/>
      <c r="AP79" s="239"/>
      <c r="AQ79" s="239"/>
      <c r="AR79" s="239"/>
      <c r="AS79" s="239"/>
      <c r="AT79" s="239"/>
      <c r="AU79" s="239"/>
      <c r="AV79" s="239"/>
      <c r="AW79" s="239"/>
      <c r="AX79" s="239"/>
      <c r="AY79" s="239"/>
      <c r="AZ79" s="239"/>
      <c r="BA79" s="239"/>
      <c r="BB79" s="239"/>
      <c r="BC79" s="239"/>
      <c r="BD79" s="239"/>
      <c r="BE79" s="239"/>
      <c r="BF79" s="239"/>
      <c r="BG79" s="239"/>
      <c r="BH79" s="239"/>
      <c r="BI79" s="239"/>
      <c r="BJ79" s="239"/>
      <c r="BK79" s="239"/>
      <c r="BL79" s="239"/>
      <c r="BM79" s="239"/>
      <c r="BN79" s="239"/>
      <c r="BO79" s="239"/>
      <c r="BP79" s="239"/>
      <c r="BQ79" s="239"/>
      <c r="BR79" s="239"/>
      <c r="BS79" s="239"/>
      <c r="BT79" s="239"/>
      <c r="BU79" s="239"/>
      <c r="BV79" s="239"/>
      <c r="BW79" s="239"/>
      <c r="BX79" s="239"/>
      <c r="BY79" s="239"/>
      <c r="BZ79" s="239"/>
      <c r="CA79" s="239"/>
      <c r="CB79" s="239"/>
      <c r="CC79" s="239"/>
      <c r="CD79" s="239"/>
      <c r="CE79" s="239"/>
      <c r="CF79" s="239"/>
      <c r="CG79" s="239"/>
      <c r="CH79" s="689"/>
      <c r="CI79" s="303"/>
      <c r="CJ79" s="239"/>
      <c r="CK79" s="239"/>
      <c r="CL79" s="239"/>
      <c r="CM79" s="239"/>
      <c r="CN79" s="239"/>
      <c r="CO79" s="239"/>
      <c r="CP79" s="239"/>
      <c r="CQ79" s="239"/>
      <c r="CR79" s="239"/>
      <c r="CS79" s="239"/>
      <c r="CT79" s="239"/>
    </row>
    <row r="80" spans="1:98" ht="15" customHeight="1" x14ac:dyDescent="0.25">
      <c r="A80" s="762" t="s">
        <v>107</v>
      </c>
      <c r="B80" s="290">
        <v>75</v>
      </c>
      <c r="C80" s="291" t="s">
        <v>564</v>
      </c>
      <c r="D80" s="193" t="s">
        <v>135</v>
      </c>
      <c r="E80" s="49"/>
      <c r="F80" s="50"/>
      <c r="G80" s="50"/>
      <c r="H80" s="50"/>
      <c r="I80" s="50"/>
      <c r="J80" s="50"/>
      <c r="K80" s="50"/>
      <c r="L80" s="51"/>
      <c r="M80" s="50"/>
      <c r="N80" s="52"/>
      <c r="O80" s="162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75"/>
      <c r="AA80" s="219"/>
      <c r="AB80" s="208"/>
      <c r="AC80" s="208"/>
      <c r="AD80" s="208"/>
      <c r="AE80" s="208"/>
      <c r="AF80" s="208"/>
      <c r="AG80" s="208"/>
      <c r="AH80" s="208"/>
      <c r="AI80" s="208"/>
      <c r="AJ80" s="208"/>
      <c r="AK80" s="208"/>
      <c r="AL80" s="223"/>
      <c r="AM80" s="250"/>
      <c r="AN80" s="251"/>
      <c r="AO80" s="241"/>
      <c r="AP80" s="241"/>
      <c r="AQ80" s="241"/>
      <c r="AR80" s="241"/>
      <c r="AS80" s="241"/>
      <c r="AT80" s="241"/>
      <c r="AU80" s="241"/>
      <c r="AV80" s="241"/>
      <c r="AW80" s="241"/>
      <c r="AX80" s="242"/>
      <c r="AY80" s="240"/>
      <c r="BA80" s="241"/>
      <c r="BB80" s="241"/>
      <c r="BC80" s="241"/>
      <c r="BD80" s="387"/>
      <c r="BE80" s="241"/>
      <c r="BF80" s="241"/>
      <c r="BG80" s="241"/>
      <c r="BH80" s="241"/>
      <c r="BI80" s="241"/>
      <c r="BJ80" s="242"/>
      <c r="BK80" s="240"/>
      <c r="BL80" s="345"/>
      <c r="BM80" s="241"/>
      <c r="BN80" s="241"/>
      <c r="BO80" s="241"/>
      <c r="BP80" s="251"/>
      <c r="BQ80" s="310"/>
      <c r="BR80" s="241"/>
      <c r="BS80" s="241"/>
      <c r="BT80" s="241"/>
      <c r="BU80" s="241"/>
      <c r="BV80" s="242"/>
      <c r="BW80" s="235"/>
      <c r="BX80" s="235"/>
      <c r="BY80" s="235"/>
      <c r="BZ80" s="235"/>
      <c r="CA80" s="235"/>
      <c r="CB80" s="235"/>
      <c r="CD80" s="259"/>
      <c r="CE80" s="235"/>
      <c r="CF80" s="254"/>
      <c r="CG80" s="235"/>
      <c r="CH80" s="244"/>
      <c r="CI80" s="351"/>
      <c r="CJ80" s="235"/>
      <c r="CK80" s="235"/>
      <c r="CL80" s="235"/>
      <c r="CM80" s="235"/>
      <c r="CN80" s="235"/>
      <c r="CP80" s="259"/>
      <c r="CQ80" s="235"/>
      <c r="CR80" s="233"/>
      <c r="CS80" s="235"/>
      <c r="CT80" s="235"/>
    </row>
    <row r="81" spans="1:98" x14ac:dyDescent="0.25">
      <c r="A81" s="763"/>
      <c r="B81" s="292">
        <v>76</v>
      </c>
      <c r="C81" s="293" t="s">
        <v>565</v>
      </c>
      <c r="D81" s="193" t="s">
        <v>136</v>
      </c>
      <c r="E81" s="31"/>
      <c r="F81" s="21"/>
      <c r="G81" s="21"/>
      <c r="H81" s="21"/>
      <c r="I81" s="21"/>
      <c r="J81" s="21"/>
      <c r="K81" s="46"/>
      <c r="L81" s="21"/>
      <c r="M81" s="21"/>
      <c r="N81" s="32"/>
      <c r="O81" s="164"/>
      <c r="P81" s="165"/>
      <c r="Q81" s="165"/>
      <c r="R81" s="165"/>
      <c r="S81" s="165"/>
      <c r="T81" s="165"/>
      <c r="U81" s="165"/>
      <c r="V81" s="165"/>
      <c r="W81" s="165"/>
      <c r="X81" s="176"/>
      <c r="Y81" s="93"/>
      <c r="Z81" s="167"/>
      <c r="AA81" s="219"/>
      <c r="AB81" s="208"/>
      <c r="AC81" s="208"/>
      <c r="AD81" s="208"/>
      <c r="AE81" s="208"/>
      <c r="AF81" s="208"/>
      <c r="AG81" s="208"/>
      <c r="AH81" s="208"/>
      <c r="AI81" s="208"/>
      <c r="AJ81" s="208"/>
      <c r="AK81" s="208"/>
      <c r="AL81" s="220"/>
      <c r="AM81" s="252"/>
      <c r="AN81" s="235"/>
      <c r="AO81" s="235"/>
      <c r="AP81" s="235"/>
      <c r="AQ81" s="235"/>
      <c r="AR81" s="235"/>
      <c r="AS81" s="235"/>
      <c r="AT81" s="235"/>
      <c r="AU81" s="235"/>
      <c r="AV81" s="235"/>
      <c r="AW81" s="235"/>
      <c r="AX81" s="244"/>
      <c r="AY81" s="243"/>
      <c r="AZ81" s="235"/>
      <c r="BA81" s="235"/>
      <c r="BB81" s="235"/>
      <c r="BC81" s="235"/>
      <c r="BD81" s="254"/>
      <c r="BE81" s="235"/>
      <c r="BF81" s="235"/>
      <c r="BG81" s="235"/>
      <c r="BH81" s="235"/>
      <c r="BI81" s="235"/>
      <c r="BJ81" s="244"/>
      <c r="BK81" s="243"/>
      <c r="BL81" s="235"/>
      <c r="BM81" s="235"/>
      <c r="BN81" s="235"/>
      <c r="BO81" s="235"/>
      <c r="BP81" s="235"/>
      <c r="BQ81" s="254"/>
      <c r="BR81" s="235"/>
      <c r="BS81" s="235"/>
      <c r="BT81" s="235"/>
      <c r="BU81" s="235"/>
      <c r="BV81" s="244"/>
      <c r="BW81" s="235"/>
      <c r="BX81" s="235"/>
      <c r="BY81" s="235"/>
      <c r="BZ81" s="235"/>
      <c r="CA81" s="235"/>
      <c r="CB81" s="235"/>
      <c r="CC81" s="235"/>
      <c r="CD81" s="259"/>
      <c r="CE81" s="235"/>
      <c r="CF81" s="254"/>
      <c r="CG81" s="235"/>
      <c r="CH81" s="244"/>
      <c r="CI81" s="351"/>
      <c r="CJ81" s="235"/>
      <c r="CK81" s="235"/>
      <c r="CL81" s="235"/>
      <c r="CM81" s="235"/>
      <c r="CN81" s="235"/>
      <c r="CO81" s="235"/>
      <c r="CP81" s="259"/>
      <c r="CQ81" s="235"/>
      <c r="CR81" s="233"/>
      <c r="CS81" s="235"/>
      <c r="CT81" s="235"/>
    </row>
    <row r="82" spans="1:98" x14ac:dyDescent="0.25">
      <c r="A82" s="763"/>
      <c r="B82" s="292">
        <v>77</v>
      </c>
      <c r="C82" s="293" t="s">
        <v>566</v>
      </c>
      <c r="D82" s="193" t="s">
        <v>137</v>
      </c>
      <c r="E82" s="31"/>
      <c r="F82" s="21"/>
      <c r="G82" s="21"/>
      <c r="H82" s="21"/>
      <c r="I82" s="21"/>
      <c r="J82" s="21"/>
      <c r="K82" s="21"/>
      <c r="L82" s="46"/>
      <c r="M82" s="21"/>
      <c r="N82" s="32"/>
      <c r="O82" s="164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77"/>
      <c r="AA82" s="219"/>
      <c r="AB82" s="208"/>
      <c r="AC82" s="208"/>
      <c r="AD82" s="208"/>
      <c r="AE82" s="208"/>
      <c r="AF82" s="208"/>
      <c r="AG82" s="208"/>
      <c r="AH82" s="208"/>
      <c r="AI82" s="208"/>
      <c r="AJ82" s="208"/>
      <c r="AK82" s="208"/>
      <c r="AL82" s="223"/>
      <c r="AM82" s="252"/>
      <c r="AN82" s="235"/>
      <c r="AO82" s="235"/>
      <c r="AP82" s="235"/>
      <c r="AQ82" s="235"/>
      <c r="AR82" s="235"/>
      <c r="AS82" s="235"/>
      <c r="AT82" s="235"/>
      <c r="AU82" s="235"/>
      <c r="AV82" s="235"/>
      <c r="AW82" s="235"/>
      <c r="AX82" s="244"/>
      <c r="AY82" s="243"/>
      <c r="AZ82" s="235"/>
      <c r="BA82" s="235"/>
      <c r="BB82" s="235"/>
      <c r="BC82" s="235"/>
      <c r="BD82" s="254"/>
      <c r="BE82" s="235"/>
      <c r="BF82" s="235"/>
      <c r="BG82" s="235"/>
      <c r="BH82" s="235"/>
      <c r="BI82" s="235"/>
      <c r="BJ82" s="244"/>
      <c r="BK82" s="243"/>
      <c r="BL82" s="235"/>
      <c r="BM82" s="235"/>
      <c r="BN82" s="235"/>
      <c r="BO82" s="235"/>
      <c r="BP82" s="235"/>
      <c r="BQ82" s="254"/>
      <c r="BR82" s="235"/>
      <c r="BS82" s="235"/>
      <c r="BT82" s="235"/>
      <c r="BU82" s="235"/>
      <c r="BV82" s="244"/>
      <c r="BW82" s="235"/>
      <c r="BX82" s="235"/>
      <c r="BY82" s="235"/>
      <c r="BZ82" s="235"/>
      <c r="CA82" s="235"/>
      <c r="CB82" s="235"/>
      <c r="CC82" s="235"/>
      <c r="CD82" s="259"/>
      <c r="CE82" s="235"/>
      <c r="CF82" s="254"/>
      <c r="CG82" s="235"/>
      <c r="CH82" s="244"/>
      <c r="CI82" s="351"/>
      <c r="CJ82" s="235"/>
      <c r="CK82" s="235"/>
      <c r="CL82" s="235"/>
      <c r="CM82" s="235"/>
      <c r="CN82" s="235"/>
      <c r="CO82" s="235"/>
      <c r="CP82" s="259"/>
      <c r="CQ82" s="235"/>
      <c r="CR82" s="233"/>
      <c r="CS82" s="235"/>
      <c r="CT82" s="235"/>
    </row>
    <row r="83" spans="1:98" x14ac:dyDescent="0.25">
      <c r="A83" s="763"/>
      <c r="B83" s="292">
        <v>78</v>
      </c>
      <c r="C83" s="293" t="s">
        <v>567</v>
      </c>
      <c r="D83" s="193" t="s">
        <v>138</v>
      </c>
      <c r="E83" s="31"/>
      <c r="F83" s="21"/>
      <c r="G83" s="21"/>
      <c r="H83" s="21"/>
      <c r="I83" s="21"/>
      <c r="J83" s="21"/>
      <c r="K83" s="21"/>
      <c r="L83" s="46"/>
      <c r="M83" s="21"/>
      <c r="N83" s="32"/>
      <c r="O83" s="164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77"/>
      <c r="AA83" s="219"/>
      <c r="AB83" s="208"/>
      <c r="AC83" s="208"/>
      <c r="AD83" s="208"/>
      <c r="AE83" s="208"/>
      <c r="AF83" s="208"/>
      <c r="AG83" s="208"/>
      <c r="AH83" s="208"/>
      <c r="AI83" s="208"/>
      <c r="AJ83" s="208"/>
      <c r="AK83" s="208"/>
      <c r="AL83" s="223"/>
      <c r="AM83" s="252"/>
      <c r="AN83" s="235"/>
      <c r="AO83" s="235"/>
      <c r="AP83" s="235"/>
      <c r="AQ83" s="235"/>
      <c r="AR83" s="235"/>
      <c r="AS83" s="235"/>
      <c r="AT83" s="235"/>
      <c r="AU83" s="235"/>
      <c r="AV83" s="235"/>
      <c r="AW83" s="235"/>
      <c r="AX83" s="244"/>
      <c r="AY83" s="243"/>
      <c r="AZ83" s="235"/>
      <c r="BA83" s="235"/>
      <c r="BB83" s="235"/>
      <c r="BC83" s="235"/>
      <c r="BD83" s="254"/>
      <c r="BE83" s="235"/>
      <c r="BF83" s="235"/>
      <c r="BG83" s="235"/>
      <c r="BH83" s="235"/>
      <c r="BI83" s="235"/>
      <c r="BJ83" s="244"/>
      <c r="BK83" s="243"/>
      <c r="BL83" s="235"/>
      <c r="BM83" s="235"/>
      <c r="BN83" s="235"/>
      <c r="BO83" s="235"/>
      <c r="BP83" s="235"/>
      <c r="BQ83" s="254"/>
      <c r="BR83" s="235"/>
      <c r="BS83" s="235"/>
      <c r="BT83" s="235"/>
      <c r="BU83" s="235"/>
      <c r="BV83" s="244"/>
      <c r="BW83" s="235"/>
      <c r="BX83" s="235"/>
      <c r="BY83" s="235"/>
      <c r="BZ83" s="235"/>
      <c r="CA83" s="235"/>
      <c r="CB83" s="235"/>
      <c r="CC83" s="235"/>
      <c r="CD83" s="259"/>
      <c r="CE83" s="235"/>
      <c r="CF83" s="254"/>
      <c r="CG83" s="235"/>
      <c r="CH83" s="244"/>
      <c r="CI83" s="351"/>
      <c r="CJ83" s="235"/>
      <c r="CK83" s="235"/>
      <c r="CL83" s="235"/>
      <c r="CM83" s="235"/>
      <c r="CN83" s="235"/>
      <c r="CO83" s="235"/>
      <c r="CP83" s="259"/>
      <c r="CQ83" s="235"/>
      <c r="CR83" s="233"/>
      <c r="CS83" s="235"/>
      <c r="CT83" s="235"/>
    </row>
    <row r="84" spans="1:98" x14ac:dyDescent="0.25">
      <c r="A84" s="763"/>
      <c r="B84" s="292">
        <v>79</v>
      </c>
      <c r="C84" s="293" t="s">
        <v>568</v>
      </c>
      <c r="D84" s="193" t="s">
        <v>139</v>
      </c>
      <c r="E84" s="31"/>
      <c r="F84" s="21"/>
      <c r="G84" s="21"/>
      <c r="H84" s="21"/>
      <c r="I84" s="21"/>
      <c r="J84" s="21"/>
      <c r="K84" s="21"/>
      <c r="L84" s="21"/>
      <c r="M84" s="21"/>
      <c r="N84" s="182"/>
      <c r="O84" s="178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77"/>
      <c r="AA84" s="219"/>
      <c r="AB84" s="208"/>
      <c r="AC84" s="220"/>
      <c r="AD84" s="208"/>
      <c r="AE84" s="208"/>
      <c r="AF84" s="208"/>
      <c r="AG84" s="208"/>
      <c r="AH84" s="208"/>
      <c r="AI84" s="208"/>
      <c r="AJ84" s="208"/>
      <c r="AK84" s="208"/>
      <c r="AL84" s="223"/>
      <c r="AM84" s="252"/>
      <c r="AN84" s="235"/>
      <c r="AO84" s="246"/>
      <c r="AP84" s="235"/>
      <c r="AQ84" s="235"/>
      <c r="AR84" s="235"/>
      <c r="AS84" s="235"/>
      <c r="AT84" s="235"/>
      <c r="AU84" s="235"/>
      <c r="AV84" s="235"/>
      <c r="AW84" s="235"/>
      <c r="AX84" s="244"/>
      <c r="AY84" s="243"/>
      <c r="AZ84" s="235"/>
      <c r="BA84" s="246"/>
      <c r="BB84" s="235"/>
      <c r="BC84" s="235"/>
      <c r="BD84" s="235"/>
      <c r="BF84" s="254"/>
      <c r="BG84" s="235"/>
      <c r="BH84" s="235"/>
      <c r="BI84" s="235"/>
      <c r="BJ84" s="244"/>
      <c r="BK84" s="243"/>
      <c r="BL84" s="235"/>
      <c r="BM84" s="246"/>
      <c r="BN84" s="235"/>
      <c r="BO84" s="235"/>
      <c r="BP84" s="235"/>
      <c r="BQ84" s="345"/>
      <c r="BR84" s="235"/>
      <c r="BS84" s="254"/>
      <c r="BT84" s="235"/>
      <c r="BU84" s="235"/>
      <c r="BV84" s="244"/>
      <c r="BW84" s="235"/>
      <c r="BX84" s="235"/>
      <c r="BY84" s="235"/>
      <c r="BZ84" s="235"/>
      <c r="CA84" s="235"/>
      <c r="CB84" s="235"/>
      <c r="CC84" s="235"/>
      <c r="CD84" s="259"/>
      <c r="CE84" s="235"/>
      <c r="CF84" s="254"/>
      <c r="CG84" s="235"/>
      <c r="CH84" s="244"/>
      <c r="CI84" s="351"/>
      <c r="CJ84" s="235"/>
      <c r="CK84" s="235"/>
      <c r="CL84" s="235"/>
      <c r="CM84" s="235"/>
      <c r="CN84" s="235"/>
      <c r="CO84" s="235"/>
      <c r="CP84" s="259"/>
      <c r="CQ84" s="235"/>
      <c r="CR84" s="233"/>
      <c r="CS84" s="235"/>
      <c r="CT84" s="235"/>
    </row>
    <row r="85" spans="1:98" x14ac:dyDescent="0.25">
      <c r="A85" s="763"/>
      <c r="B85" s="292">
        <v>80</v>
      </c>
      <c r="C85" s="293" t="s">
        <v>569</v>
      </c>
      <c r="D85" s="193" t="s">
        <v>140</v>
      </c>
      <c r="E85" s="31"/>
      <c r="F85" s="21"/>
      <c r="G85" s="21"/>
      <c r="H85" s="21"/>
      <c r="I85" s="21"/>
      <c r="J85" s="21"/>
      <c r="K85" s="21"/>
      <c r="L85" s="46"/>
      <c r="M85" s="21"/>
      <c r="N85" s="32"/>
      <c r="O85" s="164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77"/>
      <c r="AA85" s="219"/>
      <c r="AB85" s="208"/>
      <c r="AC85" s="208"/>
      <c r="AD85" s="208"/>
      <c r="AE85" s="208"/>
      <c r="AF85" s="208"/>
      <c r="AG85" s="208"/>
      <c r="AH85" s="208"/>
      <c r="AI85" s="208"/>
      <c r="AJ85" s="208"/>
      <c r="AK85" s="208"/>
      <c r="AL85" s="223"/>
      <c r="AM85" s="252"/>
      <c r="AN85" s="235"/>
      <c r="AO85" s="235"/>
      <c r="AP85" s="235"/>
      <c r="AQ85" s="235"/>
      <c r="AR85" s="235"/>
      <c r="AS85" s="235"/>
      <c r="AT85" s="235"/>
      <c r="AU85" s="235"/>
      <c r="AV85" s="235"/>
      <c r="AW85" s="235"/>
      <c r="AX85" s="244"/>
      <c r="AY85" s="243"/>
      <c r="BA85" s="235"/>
      <c r="BB85" s="235"/>
      <c r="BC85" s="235"/>
      <c r="BD85" s="254"/>
      <c r="BE85" s="235"/>
      <c r="BF85" s="235"/>
      <c r="BG85" s="235"/>
      <c r="BH85" s="235"/>
      <c r="BI85" s="235"/>
      <c r="BJ85" s="244"/>
      <c r="BK85" s="243"/>
      <c r="BL85" s="345"/>
      <c r="BM85" s="235"/>
      <c r="BN85" s="235"/>
      <c r="BO85" s="235"/>
      <c r="BP85" s="235"/>
      <c r="BQ85" s="254"/>
      <c r="BR85" s="235"/>
      <c r="BS85" s="235"/>
      <c r="BT85" s="235"/>
      <c r="BU85" s="235"/>
      <c r="BV85" s="244"/>
      <c r="BW85" s="235"/>
      <c r="BX85" s="235"/>
      <c r="BY85" s="235"/>
      <c r="BZ85" s="235"/>
      <c r="CA85" s="235"/>
      <c r="CB85" s="235"/>
      <c r="CC85" s="235"/>
      <c r="CD85" s="259"/>
      <c r="CE85" s="235"/>
      <c r="CF85" s="254"/>
      <c r="CG85" s="235"/>
      <c r="CH85" s="244"/>
      <c r="CI85" s="351"/>
      <c r="CJ85" s="235"/>
      <c r="CK85" s="235"/>
      <c r="CL85" s="235"/>
      <c r="CM85" s="235"/>
      <c r="CN85" s="235"/>
      <c r="CO85" s="235"/>
      <c r="CP85" s="259"/>
      <c r="CQ85" s="235"/>
      <c r="CR85" s="233"/>
      <c r="CS85" s="235"/>
      <c r="CT85" s="235"/>
    </row>
    <row r="86" spans="1:98" x14ac:dyDescent="0.25">
      <c r="A86" s="763"/>
      <c r="B86" s="292">
        <v>81</v>
      </c>
      <c r="C86" s="293" t="s">
        <v>570</v>
      </c>
      <c r="D86" s="193" t="s">
        <v>402</v>
      </c>
      <c r="E86" s="31"/>
      <c r="F86" s="21"/>
      <c r="G86" s="21"/>
      <c r="H86" s="21"/>
      <c r="I86" s="46"/>
      <c r="J86" s="21"/>
      <c r="K86" s="21"/>
      <c r="L86" s="21"/>
      <c r="M86" s="21"/>
      <c r="N86" s="32"/>
      <c r="O86" s="164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77"/>
      <c r="AA86" s="219"/>
      <c r="AB86" s="208"/>
      <c r="AC86" s="208"/>
      <c r="AD86" s="208"/>
      <c r="AE86" s="208"/>
      <c r="AF86" s="208"/>
      <c r="AG86" s="208"/>
      <c r="AH86" s="208"/>
      <c r="AI86" s="208"/>
      <c r="AJ86" s="208"/>
      <c r="AK86" s="208"/>
      <c r="AL86" s="223"/>
      <c r="AM86" s="243"/>
      <c r="AN86" s="235"/>
      <c r="AO86" s="235"/>
      <c r="AP86" s="235"/>
      <c r="AQ86" s="235"/>
      <c r="AR86" s="124"/>
      <c r="AS86" s="235"/>
      <c r="AT86" s="235"/>
      <c r="AU86" s="235"/>
      <c r="AV86" s="235"/>
      <c r="AW86" s="235"/>
      <c r="AX86" s="244"/>
      <c r="AY86" s="243"/>
      <c r="AZ86" s="235"/>
      <c r="BA86" s="235"/>
      <c r="BB86" s="235"/>
      <c r="BC86" s="235"/>
      <c r="BD86" s="345"/>
      <c r="BE86" s="235"/>
      <c r="BF86" s="254"/>
      <c r="BG86" s="235"/>
      <c r="BH86" s="235"/>
      <c r="BI86" s="235"/>
      <c r="BJ86" s="244"/>
      <c r="BK86" s="243"/>
      <c r="BL86" s="235"/>
      <c r="BM86" s="235"/>
      <c r="BN86" s="235"/>
      <c r="BO86" s="235"/>
      <c r="BP86" s="235"/>
      <c r="BQ86" s="235"/>
      <c r="BR86" s="235"/>
      <c r="BS86" s="254"/>
      <c r="BT86" s="235"/>
      <c r="BU86" s="235"/>
      <c r="BV86" s="244"/>
      <c r="BW86" s="235"/>
      <c r="BX86" s="235"/>
      <c r="BY86" s="235"/>
      <c r="BZ86" s="235"/>
      <c r="CA86" s="235"/>
      <c r="CB86" s="235"/>
      <c r="CC86" s="235"/>
      <c r="CD86" s="235"/>
      <c r="CE86" s="235"/>
      <c r="CF86" s="254"/>
      <c r="CG86" s="235"/>
      <c r="CH86" s="244"/>
      <c r="CI86" s="351"/>
      <c r="CJ86" s="235"/>
      <c r="CK86" s="235"/>
      <c r="CL86" s="235"/>
      <c r="CM86" s="235"/>
      <c r="CN86" s="235"/>
      <c r="CO86" s="235"/>
      <c r="CP86" s="235"/>
      <c r="CQ86" s="235"/>
      <c r="CR86" s="233"/>
      <c r="CS86" s="235"/>
      <c r="CT86" s="235"/>
    </row>
    <row r="87" spans="1:98" x14ac:dyDescent="0.25">
      <c r="A87" s="763"/>
      <c r="B87" s="292">
        <v>82</v>
      </c>
      <c r="C87" s="293" t="s">
        <v>571</v>
      </c>
      <c r="D87" s="193" t="s">
        <v>403</v>
      </c>
      <c r="E87" s="31"/>
      <c r="F87" s="21"/>
      <c r="G87" s="21"/>
      <c r="H87" s="21"/>
      <c r="I87" s="21"/>
      <c r="J87" s="21"/>
      <c r="K87" s="21"/>
      <c r="L87" s="21"/>
      <c r="M87" s="21"/>
      <c r="N87" s="32"/>
      <c r="O87" s="43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79"/>
      <c r="AA87" s="219"/>
      <c r="AB87" s="208"/>
      <c r="AC87" s="41"/>
      <c r="AD87" s="208"/>
      <c r="AE87" s="208"/>
      <c r="AF87" s="208"/>
      <c r="AG87" s="208"/>
      <c r="AH87" s="208"/>
      <c r="AI87" s="208"/>
      <c r="AJ87" s="208"/>
      <c r="AK87" s="208"/>
      <c r="AL87" s="223"/>
      <c r="AM87" s="243"/>
      <c r="AN87" s="235"/>
      <c r="AO87" s="235"/>
      <c r="AP87" s="235"/>
      <c r="AQ87" s="235"/>
      <c r="AR87" s="254"/>
      <c r="AS87" s="235"/>
      <c r="AT87" s="235"/>
      <c r="AU87" s="235"/>
      <c r="AV87" s="235"/>
      <c r="AW87" s="235"/>
      <c r="AX87" s="244"/>
      <c r="AY87" s="243"/>
      <c r="AZ87" s="235"/>
      <c r="BA87" s="235"/>
      <c r="BB87" s="235"/>
      <c r="BC87" s="235"/>
      <c r="BD87" s="235"/>
      <c r="BE87" s="235"/>
      <c r="BF87" s="254"/>
      <c r="BG87" s="235"/>
      <c r="BH87" s="235"/>
      <c r="BI87" s="235"/>
      <c r="BJ87" s="244"/>
      <c r="BK87" s="243"/>
      <c r="BL87" s="235"/>
      <c r="BM87" s="235"/>
      <c r="BN87" s="235"/>
      <c r="BO87" s="235"/>
      <c r="BP87" s="235"/>
      <c r="BQ87" s="345"/>
      <c r="BR87" s="235"/>
      <c r="BS87" s="254"/>
      <c r="BT87" s="235"/>
      <c r="BU87" s="235"/>
      <c r="BV87" s="244"/>
      <c r="BW87" s="235"/>
      <c r="BX87" s="235"/>
      <c r="BY87" s="235"/>
      <c r="BZ87" s="235"/>
      <c r="CA87" s="235"/>
      <c r="CB87" s="235"/>
      <c r="CC87" s="235"/>
      <c r="CD87" s="235"/>
      <c r="CE87" s="235"/>
      <c r="CF87" s="254"/>
      <c r="CG87" s="235"/>
      <c r="CH87" s="244"/>
      <c r="CI87" s="351"/>
      <c r="CJ87" s="235"/>
      <c r="CK87" s="235"/>
      <c r="CL87" s="235"/>
      <c r="CM87" s="235"/>
      <c r="CN87" s="235"/>
      <c r="CO87" s="235"/>
      <c r="CP87" s="235"/>
      <c r="CQ87" s="235"/>
      <c r="CR87" s="233"/>
      <c r="CS87" s="235"/>
      <c r="CT87" s="235"/>
    </row>
    <row r="88" spans="1:98" x14ac:dyDescent="0.25">
      <c r="A88" s="763"/>
      <c r="B88" s="292">
        <v>83</v>
      </c>
      <c r="C88" s="293" t="s">
        <v>572</v>
      </c>
      <c r="D88" s="193" t="s">
        <v>404</v>
      </c>
      <c r="E88" s="31"/>
      <c r="F88" s="21"/>
      <c r="G88" s="21"/>
      <c r="H88" s="21"/>
      <c r="I88" s="21"/>
      <c r="J88" s="21"/>
      <c r="K88" s="21"/>
      <c r="L88" s="21"/>
      <c r="M88" s="21"/>
      <c r="N88" s="32"/>
      <c r="O88" s="43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77"/>
      <c r="AA88" s="219"/>
      <c r="AB88" s="208"/>
      <c r="AC88" s="220"/>
      <c r="AD88" s="208"/>
      <c r="AE88" s="208"/>
      <c r="AF88" s="208"/>
      <c r="AG88" s="208"/>
      <c r="AH88" s="208"/>
      <c r="AI88" s="208"/>
      <c r="AJ88" s="208"/>
      <c r="AK88" s="208"/>
      <c r="AL88" s="223"/>
      <c r="AM88" s="252"/>
      <c r="AN88" s="235"/>
      <c r="AO88" s="235"/>
      <c r="AP88" s="235"/>
      <c r="AQ88" s="235"/>
      <c r="AR88" s="235"/>
      <c r="AS88" s="235"/>
      <c r="AT88" s="235"/>
      <c r="AU88" s="235"/>
      <c r="AV88" s="235"/>
      <c r="AW88" s="235"/>
      <c r="AX88" s="244"/>
      <c r="AY88" s="243"/>
      <c r="AZ88" s="235"/>
      <c r="BA88" s="235"/>
      <c r="BB88" s="235"/>
      <c r="BC88" s="254"/>
      <c r="BD88" s="235"/>
      <c r="BE88" s="235"/>
      <c r="BF88" s="235"/>
      <c r="BG88" s="235"/>
      <c r="BH88" s="235"/>
      <c r="BI88" s="235"/>
      <c r="BJ88" s="244"/>
      <c r="BK88" s="243"/>
      <c r="BL88" s="235"/>
      <c r="BM88" s="235"/>
      <c r="BN88" s="235"/>
      <c r="BO88" s="235"/>
      <c r="BQ88" s="254"/>
      <c r="BR88" s="235"/>
      <c r="BS88" s="235"/>
      <c r="BT88" s="235"/>
      <c r="BU88" s="235"/>
      <c r="BV88" s="244"/>
      <c r="BW88" s="235"/>
      <c r="BX88" s="235"/>
      <c r="BY88" s="235"/>
      <c r="BZ88" s="235"/>
      <c r="CA88" s="235"/>
      <c r="CB88" s="235"/>
      <c r="CC88" s="235"/>
      <c r="CD88" s="259"/>
      <c r="CE88" s="235"/>
      <c r="CF88" s="254"/>
      <c r="CG88" s="235"/>
      <c r="CH88" s="244"/>
      <c r="CI88" s="351"/>
      <c r="CJ88" s="235"/>
      <c r="CK88" s="235"/>
      <c r="CL88" s="235"/>
      <c r="CM88" s="235"/>
      <c r="CN88" s="235"/>
      <c r="CO88" s="235"/>
      <c r="CP88" s="259"/>
      <c r="CQ88" s="235"/>
      <c r="CR88" s="233"/>
      <c r="CS88" s="235"/>
      <c r="CT88" s="235"/>
    </row>
    <row r="89" spans="1:98" x14ac:dyDescent="0.25">
      <c r="A89" s="763"/>
      <c r="B89" s="292">
        <v>84</v>
      </c>
      <c r="C89" s="293" t="s">
        <v>573</v>
      </c>
      <c r="D89" s="193" t="s">
        <v>405</v>
      </c>
      <c r="E89" s="31"/>
      <c r="F89" s="21"/>
      <c r="G89" s="21"/>
      <c r="H89" s="21"/>
      <c r="I89" s="21"/>
      <c r="J89" s="21"/>
      <c r="K89" s="21"/>
      <c r="L89" s="46"/>
      <c r="M89" s="21"/>
      <c r="N89" s="32"/>
      <c r="O89" s="164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77"/>
      <c r="AA89" s="219"/>
      <c r="AB89" s="208"/>
      <c r="AC89" s="208"/>
      <c r="AD89" s="208"/>
      <c r="AE89" s="208"/>
      <c r="AF89" s="208"/>
      <c r="AG89" s="208"/>
      <c r="AH89" s="208"/>
      <c r="AI89" s="208"/>
      <c r="AJ89" s="208"/>
      <c r="AK89" s="208"/>
      <c r="AL89" s="223"/>
      <c r="AM89" s="252"/>
      <c r="AN89" s="235"/>
      <c r="AO89" s="235"/>
      <c r="AP89" s="235"/>
      <c r="AQ89" s="235"/>
      <c r="AR89" s="235"/>
      <c r="AS89" s="235"/>
      <c r="AT89" s="235"/>
      <c r="AU89" s="235"/>
      <c r="AV89" s="235"/>
      <c r="AW89" s="235"/>
      <c r="AX89" s="244"/>
      <c r="AY89" s="243"/>
      <c r="AZ89" s="235"/>
      <c r="BA89" s="235"/>
      <c r="BB89" s="235"/>
      <c r="BC89" s="254"/>
      <c r="BD89" s="235"/>
      <c r="BE89" s="235"/>
      <c r="BF89" s="235"/>
      <c r="BG89" s="235"/>
      <c r="BH89" s="235"/>
      <c r="BI89" s="235"/>
      <c r="BJ89" s="244"/>
      <c r="BK89" s="243"/>
      <c r="BL89" s="235"/>
      <c r="BM89" s="235"/>
      <c r="BN89" s="235"/>
      <c r="BO89" s="235"/>
      <c r="BQ89" s="254"/>
      <c r="BR89" s="235"/>
      <c r="BS89" s="235"/>
      <c r="BT89" s="235"/>
      <c r="BU89" s="235"/>
      <c r="BV89" s="244"/>
      <c r="BW89" s="235"/>
      <c r="BX89" s="235"/>
      <c r="BY89" s="235"/>
      <c r="BZ89" s="235"/>
      <c r="CA89" s="235"/>
      <c r="CB89" s="235"/>
      <c r="CC89" s="235"/>
      <c r="CD89" s="259"/>
      <c r="CE89" s="235"/>
      <c r="CF89" s="254"/>
      <c r="CG89" s="235"/>
      <c r="CH89" s="244"/>
      <c r="CI89" s="351"/>
      <c r="CJ89" s="235"/>
      <c r="CK89" s="235"/>
      <c r="CL89" s="235"/>
      <c r="CM89" s="235"/>
      <c r="CN89" s="235"/>
      <c r="CO89" s="235"/>
      <c r="CP89" s="259"/>
      <c r="CQ89" s="235"/>
      <c r="CR89" s="233"/>
      <c r="CS89" s="235"/>
      <c r="CT89" s="235"/>
    </row>
    <row r="90" spans="1:98" x14ac:dyDescent="0.25">
      <c r="A90" s="763"/>
      <c r="B90" s="292">
        <v>85</v>
      </c>
      <c r="C90" s="293" t="s">
        <v>574</v>
      </c>
      <c r="D90" s="193" t="s">
        <v>406</v>
      </c>
      <c r="E90" s="31"/>
      <c r="F90" s="21"/>
      <c r="G90" s="21"/>
      <c r="H90" s="21"/>
      <c r="I90" s="21"/>
      <c r="J90" s="21"/>
      <c r="K90" s="21"/>
      <c r="L90" s="21"/>
      <c r="M90" s="21"/>
      <c r="N90" s="32"/>
      <c r="O90" s="43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7"/>
      <c r="AA90" s="219"/>
      <c r="AB90" s="208"/>
      <c r="AC90" s="41"/>
      <c r="AD90" s="208"/>
      <c r="AE90" s="208"/>
      <c r="AF90" s="208"/>
      <c r="AG90" s="208"/>
      <c r="AH90" s="208"/>
      <c r="AI90" s="208"/>
      <c r="AJ90" s="208"/>
      <c r="AK90" s="208"/>
      <c r="AL90" s="223"/>
      <c r="AM90" s="243"/>
      <c r="AN90" s="235"/>
      <c r="AO90" s="235"/>
      <c r="AP90" s="235"/>
      <c r="AQ90" s="235"/>
      <c r="AR90" s="254"/>
      <c r="AS90" s="235"/>
      <c r="AT90" s="235"/>
      <c r="AU90" s="235"/>
      <c r="AV90" s="235"/>
      <c r="AW90" s="235"/>
      <c r="AX90" s="244"/>
      <c r="AY90" s="243"/>
      <c r="AZ90" s="235"/>
      <c r="BA90" s="235"/>
      <c r="BB90" s="235"/>
      <c r="BC90" s="235"/>
      <c r="BD90" s="235"/>
      <c r="BE90" s="235"/>
      <c r="BF90" s="254"/>
      <c r="BG90" s="235"/>
      <c r="BH90" s="235"/>
      <c r="BI90" s="235"/>
      <c r="BJ90" s="244"/>
      <c r="BK90" s="243"/>
      <c r="BL90" s="235"/>
      <c r="BM90" s="235"/>
      <c r="BN90" s="235"/>
      <c r="BO90" s="235"/>
      <c r="BP90" s="235"/>
      <c r="BQ90" s="235"/>
      <c r="BR90" s="235"/>
      <c r="BS90" s="254"/>
      <c r="BT90" s="235"/>
      <c r="BU90" s="235"/>
      <c r="BV90" s="244"/>
      <c r="BW90" s="235"/>
      <c r="BX90" s="235"/>
      <c r="BY90" s="235"/>
      <c r="BZ90" s="235"/>
      <c r="CA90" s="235"/>
      <c r="CB90" s="235"/>
      <c r="CC90" s="235"/>
      <c r="CD90" s="235"/>
      <c r="CE90" s="235"/>
      <c r="CF90" s="254"/>
      <c r="CG90" s="235"/>
      <c r="CH90" s="244"/>
      <c r="CI90" s="351"/>
      <c r="CJ90" s="235"/>
      <c r="CK90" s="235"/>
      <c r="CL90" s="235"/>
      <c r="CM90" s="235"/>
      <c r="CN90" s="235"/>
      <c r="CO90" s="235"/>
      <c r="CP90" s="235"/>
      <c r="CQ90" s="235"/>
      <c r="CR90" s="233"/>
      <c r="CS90" s="235"/>
      <c r="CT90" s="235"/>
    </row>
    <row r="91" spans="1:98" x14ac:dyDescent="0.25">
      <c r="A91" s="763"/>
      <c r="B91" s="292">
        <v>86</v>
      </c>
      <c r="C91" s="293" t="s">
        <v>575</v>
      </c>
      <c r="D91" s="193" t="s">
        <v>407</v>
      </c>
      <c r="E91" s="31"/>
      <c r="F91" s="21"/>
      <c r="G91" s="21"/>
      <c r="H91" s="21"/>
      <c r="I91" s="21"/>
      <c r="J91" s="21"/>
      <c r="K91" s="21"/>
      <c r="L91" s="21"/>
      <c r="M91" s="21"/>
      <c r="N91" s="183"/>
      <c r="O91" s="164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7"/>
      <c r="AA91" s="220"/>
      <c r="AB91" s="208"/>
      <c r="AC91" s="41"/>
      <c r="AD91" s="208"/>
      <c r="AE91" s="208"/>
      <c r="AF91" s="208"/>
      <c r="AG91" s="208"/>
      <c r="AH91" s="208"/>
      <c r="AI91" s="208"/>
      <c r="AJ91" s="208"/>
      <c r="AK91" s="208"/>
      <c r="AL91" s="223"/>
      <c r="AM91" s="253"/>
      <c r="AN91" s="235"/>
      <c r="AO91" s="235"/>
      <c r="AP91" s="235"/>
      <c r="AQ91" s="235"/>
      <c r="AR91" s="254"/>
      <c r="AS91" s="235"/>
      <c r="AT91" s="235"/>
      <c r="AU91" s="235"/>
      <c r="AV91" s="235"/>
      <c r="AW91" s="235"/>
      <c r="AX91" s="244"/>
      <c r="AY91" s="253"/>
      <c r="AZ91" s="235"/>
      <c r="BA91" s="235"/>
      <c r="BB91" s="235"/>
      <c r="BC91" s="235"/>
      <c r="BD91" s="235"/>
      <c r="BE91" s="235"/>
      <c r="BF91" s="254"/>
      <c r="BG91" s="235"/>
      <c r="BH91" s="235"/>
      <c r="BI91" s="235"/>
      <c r="BJ91" s="244"/>
      <c r="BK91" s="253"/>
      <c r="BL91" s="235"/>
      <c r="BM91" s="235"/>
      <c r="BN91" s="235"/>
      <c r="BO91" s="235"/>
      <c r="BP91" s="235"/>
      <c r="BQ91" s="345"/>
      <c r="BR91" s="235"/>
      <c r="BS91" s="254"/>
      <c r="BT91" s="235"/>
      <c r="BU91" s="235"/>
      <c r="BV91" s="244"/>
      <c r="BW91" s="235"/>
      <c r="BX91" s="235"/>
      <c r="BY91" s="235"/>
      <c r="BZ91" s="235"/>
      <c r="CA91" s="235"/>
      <c r="CB91" s="235"/>
      <c r="CC91" s="235"/>
      <c r="CD91" s="235"/>
      <c r="CE91" s="235"/>
      <c r="CF91" s="254"/>
      <c r="CG91" s="235"/>
      <c r="CH91" s="244"/>
      <c r="CI91" s="351"/>
      <c r="CJ91" s="235"/>
      <c r="CK91" s="235"/>
      <c r="CL91" s="235"/>
      <c r="CM91" s="235"/>
      <c r="CN91" s="235"/>
      <c r="CO91" s="235"/>
      <c r="CP91" s="235"/>
      <c r="CQ91" s="235"/>
      <c r="CR91" s="233"/>
      <c r="CS91" s="235"/>
      <c r="CT91" s="235"/>
    </row>
    <row r="92" spans="1:98" x14ac:dyDescent="0.25">
      <c r="A92" s="763"/>
      <c r="B92" s="292">
        <v>87</v>
      </c>
      <c r="C92" s="293" t="s">
        <v>576</v>
      </c>
      <c r="D92" s="193" t="s">
        <v>408</v>
      </c>
      <c r="E92" s="31"/>
      <c r="F92" s="21"/>
      <c r="G92" s="21"/>
      <c r="H92" s="21"/>
      <c r="I92" s="21"/>
      <c r="J92" s="21"/>
      <c r="K92" s="21"/>
      <c r="L92" s="46"/>
      <c r="M92" s="21"/>
      <c r="N92" s="32"/>
      <c r="O92" s="164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77"/>
      <c r="AA92" s="219"/>
      <c r="AB92" s="208"/>
      <c r="AC92" s="208"/>
      <c r="AD92" s="208"/>
      <c r="AE92" s="208"/>
      <c r="AF92" s="208"/>
      <c r="AG92" s="208"/>
      <c r="AH92" s="208"/>
      <c r="AI92" s="208"/>
      <c r="AJ92" s="208"/>
      <c r="AK92" s="208"/>
      <c r="AL92" s="223"/>
      <c r="AM92" s="252"/>
      <c r="AN92" s="246"/>
      <c r="AO92" s="235"/>
      <c r="AP92" s="235"/>
      <c r="AQ92" s="235"/>
      <c r="AR92" s="235"/>
      <c r="AS92" s="235"/>
      <c r="AT92" s="235"/>
      <c r="AU92" s="235"/>
      <c r="AV92" s="235"/>
      <c r="AW92" s="235"/>
      <c r="AX92" s="244"/>
      <c r="AY92" s="243"/>
      <c r="AZ92" s="235"/>
      <c r="BA92" s="235"/>
      <c r="BB92" s="360"/>
      <c r="BC92" s="235"/>
      <c r="BD92" s="235"/>
      <c r="BE92" s="235"/>
      <c r="BF92" s="235"/>
      <c r="BG92" s="235"/>
      <c r="BH92" s="235"/>
      <c r="BI92" s="235"/>
      <c r="BJ92" s="244"/>
      <c r="BK92" s="243"/>
      <c r="BL92" s="246"/>
      <c r="BM92" s="235"/>
      <c r="BN92" s="235"/>
      <c r="BO92" s="235"/>
      <c r="BP92" s="235"/>
      <c r="BQ92" s="254"/>
      <c r="BR92" s="235"/>
      <c r="BS92" s="235"/>
      <c r="BT92" s="235"/>
      <c r="BU92" s="235"/>
      <c r="BV92" s="244"/>
      <c r="BW92" s="235"/>
      <c r="BX92" s="235"/>
      <c r="BY92" s="235"/>
      <c r="BZ92" s="235"/>
      <c r="CA92" s="235"/>
      <c r="CB92" s="235"/>
      <c r="CC92" s="235"/>
      <c r="CD92" s="259"/>
      <c r="CE92" s="235"/>
      <c r="CF92" s="254"/>
      <c r="CG92" s="235"/>
      <c r="CH92" s="244"/>
      <c r="CI92" s="351"/>
      <c r="CJ92" s="235"/>
      <c r="CK92" s="235"/>
      <c r="CL92" s="235"/>
      <c r="CM92" s="235"/>
      <c r="CN92" s="235"/>
      <c r="CO92" s="235"/>
      <c r="CP92" s="259"/>
      <c r="CQ92" s="235"/>
      <c r="CR92" s="233"/>
      <c r="CS92" s="235"/>
      <c r="CT92" s="235"/>
    </row>
    <row r="93" spans="1:98" x14ac:dyDescent="0.25">
      <c r="A93" s="763"/>
      <c r="B93" s="292">
        <v>88</v>
      </c>
      <c r="C93" s="293" t="s">
        <v>577</v>
      </c>
      <c r="D93" s="193" t="s">
        <v>409</v>
      </c>
      <c r="E93" s="31"/>
      <c r="F93" s="21"/>
      <c r="G93" s="46"/>
      <c r="H93" s="21"/>
      <c r="I93" s="21"/>
      <c r="J93" s="21"/>
      <c r="K93" s="21"/>
      <c r="L93" s="21"/>
      <c r="M93" s="21"/>
      <c r="N93" s="32"/>
      <c r="O93" s="164"/>
      <c r="P93" s="165"/>
      <c r="Q93" s="165"/>
      <c r="R93" s="165"/>
      <c r="S93" s="165"/>
      <c r="T93" s="82"/>
      <c r="U93" s="165"/>
      <c r="V93" s="165"/>
      <c r="W93" s="165"/>
      <c r="X93" s="165"/>
      <c r="Y93" s="165"/>
      <c r="Z93" s="167"/>
      <c r="AA93" s="219"/>
      <c r="AB93" s="208"/>
      <c r="AC93" s="208"/>
      <c r="AD93" s="208"/>
      <c r="AE93" s="208"/>
      <c r="AF93" s="208"/>
      <c r="AG93" s="41"/>
      <c r="AH93" s="208"/>
      <c r="AI93" s="208"/>
      <c r="AJ93" s="208"/>
      <c r="AK93" s="208"/>
      <c r="AL93" s="223"/>
      <c r="AM93" s="243"/>
      <c r="AN93" s="235"/>
      <c r="AO93" s="235"/>
      <c r="AP93" s="235"/>
      <c r="AQ93" s="235"/>
      <c r="AR93" s="254"/>
      <c r="AT93" s="235"/>
      <c r="AU93" s="235"/>
      <c r="AV93" s="235"/>
      <c r="AW93" s="235"/>
      <c r="AX93" s="244"/>
      <c r="AY93" s="243"/>
      <c r="AZ93" s="235"/>
      <c r="BA93" s="235"/>
      <c r="BB93" s="254"/>
      <c r="BC93" s="235"/>
      <c r="BD93" s="235"/>
      <c r="BE93" s="345"/>
      <c r="BF93" s="235"/>
      <c r="BG93" s="235"/>
      <c r="BH93" s="235"/>
      <c r="BI93" s="235"/>
      <c r="BJ93" s="244"/>
      <c r="BK93" s="243"/>
      <c r="BL93" s="235"/>
      <c r="BM93" s="235"/>
      <c r="BN93" s="235"/>
      <c r="BO93" s="235"/>
      <c r="BP93" s="235"/>
      <c r="BQ93" s="254"/>
      <c r="BR93" s="235"/>
      <c r="BS93" s="235"/>
      <c r="BT93" s="235"/>
      <c r="BU93" s="235"/>
      <c r="BV93" s="244"/>
      <c r="BW93" s="235"/>
      <c r="BX93" s="235"/>
      <c r="BY93" s="235"/>
      <c r="BZ93" s="235"/>
      <c r="CA93" s="235"/>
      <c r="CB93" s="235"/>
      <c r="CC93" s="235"/>
      <c r="CD93" s="259"/>
      <c r="CE93" s="235"/>
      <c r="CF93" s="254"/>
      <c r="CG93" s="235"/>
      <c r="CH93" s="244"/>
      <c r="CI93" s="351"/>
      <c r="CJ93" s="235"/>
      <c r="CK93" s="235"/>
      <c r="CL93" s="235"/>
      <c r="CM93" s="235"/>
      <c r="CN93" s="235"/>
      <c r="CO93" s="235"/>
      <c r="CP93" s="259"/>
      <c r="CQ93" s="235"/>
      <c r="CR93" s="233"/>
      <c r="CS93" s="235"/>
      <c r="CT93" s="235"/>
    </row>
    <row r="94" spans="1:98" x14ac:dyDescent="0.25">
      <c r="A94" s="763"/>
      <c r="B94" s="292">
        <v>89</v>
      </c>
      <c r="C94" s="293" t="s">
        <v>578</v>
      </c>
      <c r="D94" s="193" t="s">
        <v>410</v>
      </c>
      <c r="E94" s="31"/>
      <c r="F94" s="21"/>
      <c r="G94" s="21"/>
      <c r="H94" s="21"/>
      <c r="I94" s="21"/>
      <c r="J94" s="21"/>
      <c r="K94" s="21"/>
      <c r="L94" s="46"/>
      <c r="M94" s="21"/>
      <c r="N94" s="32"/>
      <c r="O94" s="164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77"/>
      <c r="AA94" s="219"/>
      <c r="AB94" s="208"/>
      <c r="AC94" s="208"/>
      <c r="AD94" s="208"/>
      <c r="AE94" s="208"/>
      <c r="AF94" s="208"/>
      <c r="AG94" s="208"/>
      <c r="AH94" s="208"/>
      <c r="AI94" s="208"/>
      <c r="AJ94" s="208"/>
      <c r="AK94" s="208"/>
      <c r="AL94" s="223"/>
      <c r="AM94" s="252"/>
      <c r="AN94" s="235"/>
      <c r="AO94" s="235"/>
      <c r="AP94" s="235"/>
      <c r="AQ94" s="235"/>
      <c r="AR94" s="235"/>
      <c r="AS94" s="235"/>
      <c r="AT94" s="235"/>
      <c r="AU94" s="235"/>
      <c r="AV94" s="235"/>
      <c r="AW94" s="235"/>
      <c r="AX94" s="244"/>
      <c r="AY94" s="243"/>
      <c r="AZ94" s="235"/>
      <c r="BA94" s="235"/>
      <c r="BB94" s="254"/>
      <c r="BC94" s="235"/>
      <c r="BD94" s="235"/>
      <c r="BE94" s="235"/>
      <c r="BF94" s="235"/>
      <c r="BG94" s="235"/>
      <c r="BH94" s="235"/>
      <c r="BI94" s="235"/>
      <c r="BJ94" s="244"/>
      <c r="BK94" s="243"/>
      <c r="BL94" s="235"/>
      <c r="BM94" s="235"/>
      <c r="BN94" s="235"/>
      <c r="BO94" s="235"/>
      <c r="BP94" s="235"/>
      <c r="BQ94" s="254"/>
      <c r="BR94" s="235"/>
      <c r="BS94" s="235"/>
      <c r="BT94" s="235"/>
      <c r="BU94" s="235"/>
      <c r="BV94" s="244"/>
      <c r="BW94" s="235"/>
      <c r="BX94" s="235"/>
      <c r="BY94" s="235"/>
      <c r="BZ94" s="235"/>
      <c r="CA94" s="235"/>
      <c r="CB94" s="235"/>
      <c r="CC94" s="259"/>
      <c r="CD94" s="259"/>
      <c r="CE94" s="235"/>
      <c r="CF94" s="235"/>
      <c r="CG94" s="254"/>
      <c r="CH94" s="244"/>
      <c r="CI94" s="351"/>
      <c r="CJ94" s="235"/>
      <c r="CK94" s="235"/>
      <c r="CL94" s="235"/>
      <c r="CM94" s="235"/>
      <c r="CN94" s="235"/>
      <c r="CO94" s="259"/>
      <c r="CP94" s="259"/>
      <c r="CQ94" s="235"/>
      <c r="CR94" s="235"/>
      <c r="CS94" s="233"/>
      <c r="CT94" s="235"/>
    </row>
    <row r="95" spans="1:98" x14ac:dyDescent="0.25">
      <c r="A95" s="763"/>
      <c r="B95" s="292">
        <v>90</v>
      </c>
      <c r="C95" s="293" t="s">
        <v>579</v>
      </c>
      <c r="D95" s="193" t="s">
        <v>411</v>
      </c>
      <c r="E95" s="31"/>
      <c r="F95" s="21"/>
      <c r="G95" s="46"/>
      <c r="H95" s="21"/>
      <c r="I95" s="21"/>
      <c r="J95" s="21"/>
      <c r="K95" s="21"/>
      <c r="L95" s="21"/>
      <c r="M95" s="21"/>
      <c r="N95" s="32"/>
      <c r="O95" s="164"/>
      <c r="P95" s="165"/>
      <c r="Q95" s="165"/>
      <c r="R95" s="165"/>
      <c r="S95" s="165"/>
      <c r="T95" s="41"/>
      <c r="U95" s="165"/>
      <c r="V95" s="165"/>
      <c r="W95" s="165"/>
      <c r="X95" s="165"/>
      <c r="Y95" s="165"/>
      <c r="Z95" s="167"/>
      <c r="AA95" s="219"/>
      <c r="AB95" s="208"/>
      <c r="AC95" s="208"/>
      <c r="AD95" s="208"/>
      <c r="AE95" s="208"/>
      <c r="AF95" s="208"/>
      <c r="AG95" s="124"/>
      <c r="AH95" s="208"/>
      <c r="AI95" s="208"/>
      <c r="AJ95" s="208"/>
      <c r="AK95" s="208"/>
      <c r="AL95" s="223"/>
      <c r="AM95" s="252"/>
      <c r="AN95" s="235"/>
      <c r="AO95" s="235"/>
      <c r="AP95" s="235"/>
      <c r="AQ95" s="235"/>
      <c r="AR95" s="235"/>
      <c r="AS95" s="235"/>
      <c r="AT95" s="235"/>
      <c r="AU95" s="235"/>
      <c r="AV95" s="235"/>
      <c r="AW95" s="235"/>
      <c r="AX95" s="244"/>
      <c r="AY95" s="243"/>
      <c r="AZ95" s="235"/>
      <c r="BA95" s="235"/>
      <c r="BB95" s="254"/>
      <c r="BC95" s="235"/>
      <c r="BD95" s="235"/>
      <c r="BE95" s="235"/>
      <c r="BF95" s="235"/>
      <c r="BG95" s="235"/>
      <c r="BH95" s="235"/>
      <c r="BI95" s="235"/>
      <c r="BJ95" s="244"/>
      <c r="BK95" s="243"/>
      <c r="BL95" s="235"/>
      <c r="BM95" s="235"/>
      <c r="BN95" s="235"/>
      <c r="BO95" s="235"/>
      <c r="BP95" s="254"/>
      <c r="BR95" s="235"/>
      <c r="BS95" s="235"/>
      <c r="BT95" s="235"/>
      <c r="BU95" s="235"/>
      <c r="BV95" s="244"/>
      <c r="BW95" s="235"/>
      <c r="BX95" s="235"/>
      <c r="BY95" s="235"/>
      <c r="BZ95" s="235"/>
      <c r="CA95" s="235"/>
      <c r="CB95" s="235"/>
      <c r="CC95" s="259"/>
      <c r="CD95" s="259"/>
      <c r="CE95" s="235"/>
      <c r="CF95" s="235"/>
      <c r="CG95" s="254"/>
      <c r="CH95" s="244"/>
      <c r="CI95" s="351"/>
      <c r="CJ95" s="235"/>
      <c r="CK95" s="235"/>
      <c r="CL95" s="235"/>
      <c r="CM95" s="235"/>
      <c r="CN95" s="235"/>
      <c r="CO95" s="259"/>
      <c r="CP95" s="259"/>
      <c r="CQ95" s="235"/>
      <c r="CR95" s="235"/>
      <c r="CS95" s="233"/>
      <c r="CT95" s="235"/>
    </row>
    <row r="96" spans="1:98" x14ac:dyDescent="0.25">
      <c r="A96" s="763"/>
      <c r="B96" s="292">
        <v>91</v>
      </c>
      <c r="C96" s="293" t="s">
        <v>580</v>
      </c>
      <c r="D96" s="193" t="s">
        <v>412</v>
      </c>
      <c r="E96" s="31"/>
      <c r="F96" s="21"/>
      <c r="G96" s="21"/>
      <c r="H96" s="21"/>
      <c r="I96" s="21"/>
      <c r="J96" s="21"/>
      <c r="K96" s="21"/>
      <c r="L96" s="46"/>
      <c r="M96" s="21"/>
      <c r="N96" s="32"/>
      <c r="O96" s="164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77"/>
      <c r="AA96" s="219"/>
      <c r="AB96" s="208"/>
      <c r="AC96" s="208"/>
      <c r="AD96" s="208"/>
      <c r="AE96" s="208"/>
      <c r="AF96" s="208"/>
      <c r="AG96" s="208"/>
      <c r="AH96" s="208"/>
      <c r="AI96" s="208"/>
      <c r="AJ96" s="208"/>
      <c r="AK96" s="208"/>
      <c r="AL96" s="223"/>
      <c r="AM96" s="252"/>
      <c r="AN96" s="235"/>
      <c r="AO96" s="235"/>
      <c r="AP96" s="235"/>
      <c r="AQ96" s="235"/>
      <c r="AR96" s="235"/>
      <c r="AS96" s="235"/>
      <c r="AT96" s="235"/>
      <c r="AU96" s="235"/>
      <c r="AV96" s="235"/>
      <c r="AW96" s="235"/>
      <c r="AX96" s="244"/>
      <c r="AY96" s="243"/>
      <c r="AZ96" s="235"/>
      <c r="BA96" s="235"/>
      <c r="BB96" s="254"/>
      <c r="BC96" s="235"/>
      <c r="BD96" s="235"/>
      <c r="BE96" s="235"/>
      <c r="BF96" s="235"/>
      <c r="BG96" s="235"/>
      <c r="BH96" s="235"/>
      <c r="BI96" s="235"/>
      <c r="BJ96" s="244"/>
      <c r="BK96" s="243"/>
      <c r="BL96" s="235"/>
      <c r="BM96" s="235"/>
      <c r="BN96" s="235"/>
      <c r="BO96" s="235"/>
      <c r="BP96" s="235"/>
      <c r="BQ96" s="254"/>
      <c r="BR96" s="235"/>
      <c r="BS96" s="235"/>
      <c r="BT96" s="235"/>
      <c r="BU96" s="235"/>
      <c r="BV96" s="244"/>
      <c r="BW96" s="235"/>
      <c r="BX96" s="235"/>
      <c r="BY96" s="235"/>
      <c r="BZ96" s="235"/>
      <c r="CA96" s="235"/>
      <c r="CB96" s="235"/>
      <c r="CC96" s="235"/>
      <c r="CD96" s="259"/>
      <c r="CE96" s="235"/>
      <c r="CF96" s="235"/>
      <c r="CG96" s="254"/>
      <c r="CH96" s="244"/>
      <c r="CI96" s="351"/>
      <c r="CJ96" s="235"/>
      <c r="CK96" s="235"/>
      <c r="CL96" s="235"/>
      <c r="CM96" s="235"/>
      <c r="CN96" s="235"/>
      <c r="CO96" s="235"/>
      <c r="CP96" s="233"/>
      <c r="CQ96" s="235"/>
      <c r="CR96" s="235"/>
      <c r="CS96" s="235"/>
      <c r="CT96" s="235"/>
    </row>
    <row r="97" spans="1:98" x14ac:dyDescent="0.25">
      <c r="A97" s="763"/>
      <c r="B97" s="292">
        <v>92</v>
      </c>
      <c r="C97" s="293" t="s">
        <v>581</v>
      </c>
      <c r="D97" s="193" t="s">
        <v>413</v>
      </c>
      <c r="E97" s="31"/>
      <c r="F97" s="21"/>
      <c r="G97" s="21"/>
      <c r="H97" s="21"/>
      <c r="I97" s="21"/>
      <c r="J97" s="21"/>
      <c r="K97" s="21"/>
      <c r="L97" s="21"/>
      <c r="M97" s="46"/>
      <c r="N97" s="32"/>
      <c r="O97" s="164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77"/>
      <c r="AA97" s="219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23"/>
      <c r="AM97" s="252"/>
      <c r="AN97" s="235"/>
      <c r="AO97" s="235"/>
      <c r="AP97" s="235"/>
      <c r="AQ97" s="235"/>
      <c r="AR97" s="235"/>
      <c r="AS97" s="235"/>
      <c r="AT97" s="235"/>
      <c r="AU97" s="235"/>
      <c r="AV97" s="235"/>
      <c r="AW97" s="235"/>
      <c r="AX97" s="244"/>
      <c r="AY97" s="243"/>
      <c r="AZ97" s="235"/>
      <c r="BA97" s="235"/>
      <c r="BB97" s="254"/>
      <c r="BC97" s="235"/>
      <c r="BD97" s="235"/>
      <c r="BE97" s="235"/>
      <c r="BF97" s="235"/>
      <c r="BG97" s="235"/>
      <c r="BH97" s="235"/>
      <c r="BI97" s="235"/>
      <c r="BJ97" s="244"/>
      <c r="BK97" s="243"/>
      <c r="BL97" s="235"/>
      <c r="BM97" s="235"/>
      <c r="BN97" s="235"/>
      <c r="BO97" s="235"/>
      <c r="BP97" s="235"/>
      <c r="BR97" s="235"/>
      <c r="BS97" s="235"/>
      <c r="BT97" s="235"/>
      <c r="BV97" s="254"/>
      <c r="BW97" s="235"/>
      <c r="BX97" s="235"/>
      <c r="BY97" s="235"/>
      <c r="BZ97" s="235"/>
      <c r="CA97" s="235"/>
      <c r="CB97" s="235"/>
      <c r="CC97" s="235"/>
      <c r="CD97" s="259"/>
      <c r="CE97" s="235"/>
      <c r="CF97" s="235"/>
      <c r="CG97" s="254"/>
      <c r="CH97" s="690"/>
      <c r="CI97" s="351"/>
      <c r="CJ97" s="235"/>
      <c r="CK97" s="235"/>
      <c r="CL97" s="235"/>
      <c r="CM97" s="235"/>
      <c r="CN97" s="235"/>
      <c r="CO97" s="235"/>
      <c r="CP97" s="235"/>
      <c r="CQ97" s="235"/>
      <c r="CR97" s="235"/>
      <c r="CS97" s="235"/>
      <c r="CT97" s="233"/>
    </row>
    <row r="98" spans="1:98" x14ac:dyDescent="0.25">
      <c r="A98" s="763"/>
      <c r="B98" s="292">
        <v>93</v>
      </c>
      <c r="C98" s="293" t="s">
        <v>582</v>
      </c>
      <c r="D98" s="193" t="s">
        <v>414</v>
      </c>
      <c r="E98" s="31"/>
      <c r="F98" s="21"/>
      <c r="G98" s="21"/>
      <c r="H98" s="21"/>
      <c r="I98" s="21"/>
      <c r="J98" s="21"/>
      <c r="K98" s="21"/>
      <c r="L98" s="21"/>
      <c r="M98" s="46"/>
      <c r="N98" s="32"/>
      <c r="O98" s="164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77"/>
      <c r="AA98" s="219"/>
      <c r="AB98" s="208"/>
      <c r="AC98" s="208"/>
      <c r="AD98" s="208"/>
      <c r="AE98" s="208"/>
      <c r="AF98" s="208"/>
      <c r="AG98" s="208"/>
      <c r="AH98" s="208"/>
      <c r="AI98" s="208"/>
      <c r="AJ98" s="208"/>
      <c r="AK98" s="208"/>
      <c r="AL98" s="223"/>
      <c r="AM98" s="252"/>
      <c r="AN98" s="235"/>
      <c r="AO98" s="235"/>
      <c r="AP98" s="235"/>
      <c r="AQ98" s="235"/>
      <c r="AR98" s="235"/>
      <c r="AS98" s="235"/>
      <c r="AT98" s="235"/>
      <c r="AU98" s="235"/>
      <c r="AV98" s="235"/>
      <c r="AW98" s="235"/>
      <c r="AX98" s="244"/>
      <c r="AY98" s="243"/>
      <c r="AZ98" s="235"/>
      <c r="BA98" s="254"/>
      <c r="BB98" s="235"/>
      <c r="BC98" s="235"/>
      <c r="BD98" s="235"/>
      <c r="BE98" s="235"/>
      <c r="BF98" s="235"/>
      <c r="BG98" s="235"/>
      <c r="BH98" s="235"/>
      <c r="BI98" s="235"/>
      <c r="BJ98" s="244"/>
      <c r="BK98" s="243"/>
      <c r="BL98" s="235"/>
      <c r="BM98" s="235"/>
      <c r="BN98" s="235"/>
      <c r="BO98" s="235"/>
      <c r="BP98" s="235"/>
      <c r="BQ98" s="254"/>
      <c r="BR98" s="235"/>
      <c r="BS98" s="235"/>
      <c r="BT98" s="235"/>
      <c r="BU98" s="235"/>
      <c r="BV98" s="244"/>
      <c r="BW98" s="235"/>
      <c r="BX98" s="235"/>
      <c r="BY98" s="235"/>
      <c r="BZ98" s="235"/>
      <c r="CA98" s="235"/>
      <c r="CB98" s="235"/>
      <c r="CC98" s="235"/>
      <c r="CD98" s="259"/>
      <c r="CE98" s="235"/>
      <c r="CF98" s="235"/>
      <c r="CG98" s="254"/>
      <c r="CH98" s="244"/>
      <c r="CI98" s="351"/>
      <c r="CJ98" s="235"/>
      <c r="CK98" s="235"/>
      <c r="CL98" s="235"/>
      <c r="CM98" s="235"/>
      <c r="CN98" s="235"/>
      <c r="CO98" s="235"/>
      <c r="CP98" s="233"/>
      <c r="CQ98" s="235"/>
      <c r="CR98" s="235"/>
      <c r="CS98" s="235"/>
      <c r="CT98" s="235"/>
    </row>
    <row r="99" spans="1:98" x14ac:dyDescent="0.25">
      <c r="A99" s="763"/>
      <c r="B99" s="292">
        <v>94</v>
      </c>
      <c r="C99" s="293" t="s">
        <v>583</v>
      </c>
      <c r="D99" s="193" t="s">
        <v>415</v>
      </c>
      <c r="E99" s="53"/>
      <c r="F99" s="22"/>
      <c r="G99" s="22"/>
      <c r="H99" s="22"/>
      <c r="I99" s="22"/>
      <c r="J99" s="22"/>
      <c r="K99" s="22"/>
      <c r="L99" s="22"/>
      <c r="M99" s="71"/>
      <c r="N99" s="54"/>
      <c r="O99" s="164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77"/>
      <c r="AA99" s="219"/>
      <c r="AB99" s="208"/>
      <c r="AC99" s="208"/>
      <c r="AD99" s="208"/>
      <c r="AE99" s="208"/>
      <c r="AF99" s="208"/>
      <c r="AG99" s="208"/>
      <c r="AH99" s="208"/>
      <c r="AI99" s="208"/>
      <c r="AJ99" s="208"/>
      <c r="AK99" s="208"/>
      <c r="AL99" s="223"/>
      <c r="AM99" s="252"/>
      <c r="AN99" s="235"/>
      <c r="AO99" s="235"/>
      <c r="AP99" s="235"/>
      <c r="AQ99" s="235"/>
      <c r="AR99" s="235"/>
      <c r="AS99" s="235"/>
      <c r="AT99" s="235"/>
      <c r="AU99" s="235"/>
      <c r="AV99" s="235"/>
      <c r="AW99" s="235"/>
      <c r="AX99" s="244"/>
      <c r="AY99" s="243"/>
      <c r="AZ99" s="235"/>
      <c r="BA99" s="254"/>
      <c r="BB99" s="235"/>
      <c r="BC99" s="235"/>
      <c r="BD99" s="235"/>
      <c r="BE99" s="235"/>
      <c r="BF99" s="235"/>
      <c r="BG99" s="235"/>
      <c r="BH99" s="235"/>
      <c r="BI99" s="235"/>
      <c r="BJ99" s="244"/>
      <c r="BK99" s="243"/>
      <c r="BL99" s="235"/>
      <c r="BM99" s="235"/>
      <c r="BN99" s="235"/>
      <c r="BO99" s="235"/>
      <c r="BP99" s="235"/>
      <c r="BQ99" s="254"/>
      <c r="BR99" s="235"/>
      <c r="BS99" s="235"/>
      <c r="BT99" s="235"/>
      <c r="BU99" s="235"/>
      <c r="BV99" s="244"/>
      <c r="BW99" s="235"/>
      <c r="BX99" s="235"/>
      <c r="BY99" s="235"/>
      <c r="BZ99" s="235"/>
      <c r="CA99" s="235"/>
      <c r="CB99" s="235"/>
      <c r="CC99" s="235"/>
      <c r="CD99" s="259"/>
      <c r="CE99" s="235"/>
      <c r="CF99" s="235"/>
      <c r="CG99" s="254"/>
      <c r="CH99" s="244"/>
      <c r="CI99" s="351"/>
      <c r="CJ99" s="235"/>
      <c r="CK99" s="235"/>
      <c r="CL99" s="235"/>
      <c r="CM99" s="235"/>
      <c r="CN99" s="235"/>
      <c r="CO99" s="235"/>
      <c r="CP99" s="233"/>
      <c r="CQ99" s="235"/>
      <c r="CR99" s="235"/>
      <c r="CS99" s="235"/>
      <c r="CT99" s="235"/>
    </row>
    <row r="100" spans="1:98" x14ac:dyDescent="0.25">
      <c r="A100" s="763"/>
      <c r="B100" s="292">
        <v>95</v>
      </c>
      <c r="C100" s="293" t="s">
        <v>584</v>
      </c>
      <c r="D100" s="193" t="s">
        <v>141</v>
      </c>
      <c r="E100" s="31"/>
      <c r="F100" s="21"/>
      <c r="G100" s="21"/>
      <c r="H100" s="21"/>
      <c r="I100" s="46"/>
      <c r="J100" s="21"/>
      <c r="K100" s="21"/>
      <c r="L100" s="21"/>
      <c r="M100" s="21"/>
      <c r="N100" s="32"/>
      <c r="O100" s="164"/>
      <c r="P100" s="165"/>
      <c r="Q100" s="165"/>
      <c r="R100" s="165"/>
      <c r="S100" s="165"/>
      <c r="T100" s="165"/>
      <c r="U100" s="165"/>
      <c r="V100" s="41"/>
      <c r="W100" s="165"/>
      <c r="X100" s="165"/>
      <c r="Y100" s="165"/>
      <c r="Z100" s="167"/>
      <c r="AA100" s="219"/>
      <c r="AB100" s="208"/>
      <c r="AC100" s="208"/>
      <c r="AD100" s="208"/>
      <c r="AE100" s="208"/>
      <c r="AF100" s="208"/>
      <c r="AG100" s="208"/>
      <c r="AH100" s="208"/>
      <c r="AI100" s="41"/>
      <c r="AJ100" s="208"/>
      <c r="AK100" s="208"/>
      <c r="AL100" s="223"/>
      <c r="AM100" s="243"/>
      <c r="AN100" s="235"/>
      <c r="AO100" s="235"/>
      <c r="AP100" s="235"/>
      <c r="AQ100" s="235"/>
      <c r="AR100" s="235"/>
      <c r="AS100" s="235"/>
      <c r="AT100" s="235"/>
      <c r="AV100" s="235"/>
      <c r="AW100" s="254"/>
      <c r="AX100" s="244"/>
      <c r="AY100" s="243"/>
      <c r="AZ100" s="235"/>
      <c r="BA100" s="235"/>
      <c r="BB100" s="235"/>
      <c r="BC100" s="235"/>
      <c r="BD100" s="235"/>
      <c r="BE100" s="235"/>
      <c r="BF100" s="235"/>
      <c r="BG100" s="235"/>
      <c r="BH100" s="235"/>
      <c r="BJ100" s="244"/>
      <c r="BK100" s="254"/>
      <c r="BL100" s="235"/>
      <c r="BM100" s="235"/>
      <c r="BN100" s="235"/>
      <c r="BO100" s="235"/>
      <c r="BP100" s="235"/>
      <c r="BQ100" s="235"/>
      <c r="BR100" s="235"/>
      <c r="BS100" s="235"/>
      <c r="BT100" s="235"/>
      <c r="BU100" s="235"/>
      <c r="BV100" s="244"/>
      <c r="BW100" s="254"/>
      <c r="BY100" s="235"/>
      <c r="BZ100" s="235"/>
      <c r="CA100" s="235"/>
      <c r="CB100" s="235"/>
      <c r="CC100" s="235"/>
      <c r="CD100" s="235"/>
      <c r="CE100" s="235"/>
      <c r="CF100" s="235"/>
      <c r="CG100" s="235"/>
      <c r="CH100" s="349"/>
      <c r="CI100" s="706"/>
      <c r="CK100" s="235"/>
      <c r="CL100" s="235"/>
      <c r="CM100" s="235"/>
      <c r="CN100" s="235"/>
      <c r="CO100" s="235"/>
      <c r="CP100" s="235"/>
      <c r="CQ100" s="235"/>
      <c r="CR100" s="235"/>
      <c r="CS100" s="235"/>
      <c r="CT100" s="235"/>
    </row>
    <row r="101" spans="1:98" x14ac:dyDescent="0.25">
      <c r="A101" s="763"/>
      <c r="B101" s="292">
        <v>96</v>
      </c>
      <c r="C101" s="293" t="s">
        <v>585</v>
      </c>
      <c r="D101" s="193" t="s">
        <v>142</v>
      </c>
      <c r="E101" s="31"/>
      <c r="F101" s="21"/>
      <c r="G101" s="21"/>
      <c r="H101" s="21"/>
      <c r="I101" s="46"/>
      <c r="J101" s="21"/>
      <c r="K101" s="21"/>
      <c r="L101" s="21"/>
      <c r="M101" s="21"/>
      <c r="N101" s="32"/>
      <c r="O101" s="164"/>
      <c r="P101" s="165"/>
      <c r="Q101" s="165"/>
      <c r="R101" s="165"/>
      <c r="S101" s="165"/>
      <c r="T101" s="165"/>
      <c r="U101" s="165"/>
      <c r="V101" s="41"/>
      <c r="W101" s="165"/>
      <c r="X101" s="165"/>
      <c r="Y101" s="165"/>
      <c r="Z101" s="167"/>
      <c r="AA101" s="219"/>
      <c r="AB101" s="208"/>
      <c r="AC101" s="208"/>
      <c r="AD101" s="208"/>
      <c r="AE101" s="208"/>
      <c r="AF101" s="208"/>
      <c r="AG101" s="208"/>
      <c r="AH101" s="208"/>
      <c r="AI101" s="41"/>
      <c r="AJ101" s="208"/>
      <c r="AK101" s="208"/>
      <c r="AL101" s="223"/>
      <c r="AM101" s="243"/>
      <c r="AN101" s="235"/>
      <c r="AO101" s="235"/>
      <c r="AP101" s="235"/>
      <c r="AQ101" s="235"/>
      <c r="AR101" s="235"/>
      <c r="AS101" s="235"/>
      <c r="AT101" s="235"/>
      <c r="AU101" s="235"/>
      <c r="AV101" s="235"/>
      <c r="AW101" s="254"/>
      <c r="AX101" s="244"/>
      <c r="AY101" s="243"/>
      <c r="AZ101" s="235"/>
      <c r="BA101" s="235"/>
      <c r="BB101" s="235"/>
      <c r="BC101" s="235"/>
      <c r="BD101" s="235"/>
      <c r="BE101" s="235"/>
      <c r="BF101" s="235"/>
      <c r="BG101" s="235"/>
      <c r="BH101" s="235"/>
      <c r="BI101" s="235"/>
      <c r="BJ101" s="244"/>
      <c r="BK101" s="349"/>
      <c r="BL101" s="235"/>
      <c r="BM101" s="235"/>
      <c r="BN101" s="235"/>
      <c r="BO101" s="235"/>
      <c r="BP101" s="235"/>
      <c r="BQ101" s="235"/>
      <c r="BR101" s="235"/>
      <c r="BS101" s="235"/>
      <c r="BT101" s="235"/>
      <c r="BU101" s="235"/>
      <c r="BV101" s="244"/>
      <c r="BW101" s="254"/>
      <c r="BX101" s="235"/>
      <c r="BY101" s="235"/>
      <c r="BZ101" s="235"/>
      <c r="CA101" s="235"/>
      <c r="CB101" s="235"/>
      <c r="CC101" s="235"/>
      <c r="CD101" s="235"/>
      <c r="CE101" s="235"/>
      <c r="CF101" s="235"/>
      <c r="CG101" s="235"/>
      <c r="CH101" s="244"/>
      <c r="CI101" s="708"/>
      <c r="CJ101" s="235"/>
      <c r="CK101" s="235"/>
      <c r="CL101" s="235"/>
      <c r="CM101" s="235"/>
      <c r="CN101" s="235"/>
      <c r="CO101" s="235"/>
      <c r="CP101" s="235"/>
      <c r="CQ101" s="235"/>
      <c r="CR101" s="235"/>
      <c r="CS101" s="235"/>
      <c r="CT101" s="235"/>
    </row>
    <row r="102" spans="1:98" x14ac:dyDescent="0.25">
      <c r="A102" s="763"/>
      <c r="B102" s="292">
        <v>97</v>
      </c>
      <c r="C102" s="293" t="s">
        <v>586</v>
      </c>
      <c r="D102" s="193" t="s">
        <v>143</v>
      </c>
      <c r="E102" s="31"/>
      <c r="F102" s="21"/>
      <c r="G102" s="21"/>
      <c r="H102" s="21"/>
      <c r="I102" s="21"/>
      <c r="J102" s="21"/>
      <c r="K102" s="46"/>
      <c r="L102" s="21"/>
      <c r="M102" s="21"/>
      <c r="N102" s="32"/>
      <c r="O102" s="164"/>
      <c r="P102" s="165"/>
      <c r="Q102" s="165"/>
      <c r="R102" s="165"/>
      <c r="S102" s="165"/>
      <c r="T102" s="165"/>
      <c r="U102" s="165"/>
      <c r="V102" s="41"/>
      <c r="W102" s="165"/>
      <c r="X102" s="165"/>
      <c r="Y102" s="165"/>
      <c r="Z102" s="167"/>
      <c r="AA102" s="219"/>
      <c r="AB102" s="208"/>
      <c r="AC102" s="208"/>
      <c r="AD102" s="208"/>
      <c r="AE102" s="208"/>
      <c r="AF102" s="208"/>
      <c r="AG102" s="208"/>
      <c r="AH102" s="208"/>
      <c r="AI102" s="41"/>
      <c r="AJ102" s="208"/>
      <c r="AK102" s="208"/>
      <c r="AL102" s="223"/>
      <c r="AM102" s="243"/>
      <c r="AN102" s="235"/>
      <c r="AO102" s="235"/>
      <c r="AP102" s="235"/>
      <c r="AQ102" s="235"/>
      <c r="AR102" s="235"/>
      <c r="AS102" s="235"/>
      <c r="AT102" s="235"/>
      <c r="AV102" s="235"/>
      <c r="AW102" s="254"/>
      <c r="AX102" s="244"/>
      <c r="AY102" s="243"/>
      <c r="AZ102" s="235"/>
      <c r="BA102" s="235"/>
      <c r="BB102" s="235"/>
      <c r="BC102" s="235"/>
      <c r="BD102" s="235"/>
      <c r="BE102" s="235"/>
      <c r="BF102" s="235"/>
      <c r="BG102" s="235"/>
      <c r="BH102" s="235"/>
      <c r="BJ102" s="244"/>
      <c r="BK102" s="254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44"/>
      <c r="BW102" s="254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349"/>
      <c r="CI102" s="706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</row>
    <row r="103" spans="1:98" x14ac:dyDescent="0.25">
      <c r="A103" s="763"/>
      <c r="B103" s="292">
        <v>98</v>
      </c>
      <c r="C103" s="293" t="s">
        <v>587</v>
      </c>
      <c r="D103" s="193" t="s">
        <v>144</v>
      </c>
      <c r="E103" s="31"/>
      <c r="F103" s="21"/>
      <c r="G103" s="21"/>
      <c r="H103" s="21"/>
      <c r="I103" s="21"/>
      <c r="J103" s="21"/>
      <c r="K103" s="46"/>
      <c r="L103" s="21"/>
      <c r="M103" s="21"/>
      <c r="N103" s="32"/>
      <c r="O103" s="164"/>
      <c r="P103" s="165"/>
      <c r="Q103" s="165"/>
      <c r="R103" s="165"/>
      <c r="S103" s="165"/>
      <c r="T103" s="165"/>
      <c r="U103" s="165"/>
      <c r="V103" s="165"/>
      <c r="W103" s="165"/>
      <c r="X103" s="165"/>
      <c r="Y103" s="176"/>
      <c r="Z103" s="177"/>
      <c r="AA103" s="219"/>
      <c r="AB103" s="208"/>
      <c r="AC103" s="208"/>
      <c r="AD103" s="208"/>
      <c r="AE103" s="208"/>
      <c r="AF103" s="208"/>
      <c r="AG103" s="208"/>
      <c r="AH103" s="208"/>
      <c r="AI103" s="208"/>
      <c r="AJ103" s="208"/>
      <c r="AK103" s="208"/>
      <c r="AL103" s="224"/>
      <c r="AM103" s="243"/>
      <c r="AN103" s="235"/>
      <c r="AO103" s="235"/>
      <c r="AP103" s="235"/>
      <c r="AQ103" s="235"/>
      <c r="AR103" s="235"/>
      <c r="AS103" s="235"/>
      <c r="AT103" s="235"/>
      <c r="AU103" s="235"/>
      <c r="AV103" s="350"/>
      <c r="AW103" s="254"/>
      <c r="AX103" s="427"/>
      <c r="AY103" s="243"/>
      <c r="AZ103" s="235"/>
      <c r="BA103" s="235"/>
      <c r="BB103" s="235"/>
      <c r="BC103" s="235"/>
      <c r="BD103" s="235"/>
      <c r="BE103" s="235"/>
      <c r="BF103" s="235"/>
      <c r="BG103" s="235"/>
      <c r="BH103" s="235"/>
      <c r="BI103" s="235"/>
      <c r="BJ103" s="244"/>
      <c r="BK103" s="349"/>
      <c r="BL103" s="235"/>
      <c r="BM103" s="235"/>
      <c r="BN103" s="235"/>
      <c r="BO103" s="235"/>
      <c r="BP103" s="235"/>
      <c r="BQ103" s="235"/>
      <c r="BR103" s="235"/>
      <c r="BS103" s="235"/>
      <c r="BT103" s="235"/>
      <c r="BU103" s="235"/>
      <c r="BV103" s="244"/>
      <c r="BW103" s="254"/>
      <c r="BY103" s="235"/>
      <c r="BZ103" s="235"/>
      <c r="CA103" s="235"/>
      <c r="CB103" s="235"/>
      <c r="CC103" s="235"/>
      <c r="CD103" s="235"/>
      <c r="CE103" s="235"/>
      <c r="CF103" s="235"/>
      <c r="CG103" s="235"/>
      <c r="CH103" s="349"/>
      <c r="CI103" s="706"/>
      <c r="CK103" s="235"/>
      <c r="CL103" s="235"/>
      <c r="CM103" s="235"/>
      <c r="CN103" s="235"/>
      <c r="CO103" s="235"/>
      <c r="CP103" s="235"/>
      <c r="CQ103" s="235"/>
      <c r="CR103" s="235"/>
      <c r="CS103" s="235"/>
      <c r="CT103" s="235"/>
    </row>
    <row r="104" spans="1:98" x14ac:dyDescent="0.25">
      <c r="A104" s="763"/>
      <c r="B104" s="292">
        <v>99</v>
      </c>
      <c r="C104" s="293" t="s">
        <v>588</v>
      </c>
      <c r="D104" s="193" t="s">
        <v>416</v>
      </c>
      <c r="E104" s="31"/>
      <c r="F104" s="21"/>
      <c r="G104" s="21"/>
      <c r="H104" s="21"/>
      <c r="I104" s="46"/>
      <c r="J104" s="21"/>
      <c r="K104" s="21"/>
      <c r="L104" s="21"/>
      <c r="M104" s="21"/>
      <c r="N104" s="32"/>
      <c r="O104" s="164"/>
      <c r="P104" s="165"/>
      <c r="Q104" s="165"/>
      <c r="R104" s="165"/>
      <c r="S104" s="165"/>
      <c r="T104" s="165"/>
      <c r="U104" s="165"/>
      <c r="V104" s="165"/>
      <c r="W104" s="176"/>
      <c r="X104" s="165"/>
      <c r="Y104" s="41"/>
      <c r="Z104" s="167"/>
      <c r="AA104" s="219"/>
      <c r="AB104" s="208"/>
      <c r="AC104" s="208"/>
      <c r="AD104" s="208"/>
      <c r="AE104" s="208"/>
      <c r="AF104" s="208"/>
      <c r="AG104" s="208"/>
      <c r="AH104" s="208"/>
      <c r="AI104" s="208"/>
      <c r="AJ104" s="220"/>
      <c r="AK104" s="208"/>
      <c r="AL104" s="224"/>
      <c r="AM104" s="243"/>
      <c r="AN104" s="235"/>
      <c r="AO104" s="235"/>
      <c r="AP104" s="235"/>
      <c r="AQ104" s="235"/>
      <c r="AR104" s="235"/>
      <c r="AS104" s="235"/>
      <c r="AT104" s="235"/>
      <c r="AU104" s="235"/>
      <c r="AV104" s="350"/>
      <c r="AW104" s="254"/>
      <c r="AX104" s="427"/>
      <c r="AY104" s="243"/>
      <c r="AZ104" s="235"/>
      <c r="BA104" s="235"/>
      <c r="BB104" s="235"/>
      <c r="BC104" s="235"/>
      <c r="BD104" s="235"/>
      <c r="BE104" s="235"/>
      <c r="BF104" s="235"/>
      <c r="BG104" s="235"/>
      <c r="BH104" s="235"/>
      <c r="BI104" s="235"/>
      <c r="BJ104" s="244"/>
      <c r="BK104" s="349"/>
      <c r="BL104" s="235"/>
      <c r="BM104" s="235"/>
      <c r="BN104" s="235"/>
      <c r="BO104" s="235"/>
      <c r="BP104" s="235"/>
      <c r="BQ104" s="235"/>
      <c r="BR104" s="235"/>
      <c r="BS104" s="235"/>
      <c r="BT104" s="235"/>
      <c r="BU104" s="235"/>
      <c r="BV104" s="244"/>
      <c r="BW104" s="235"/>
      <c r="BX104" s="254"/>
      <c r="BY104" s="235"/>
      <c r="BZ104" s="235"/>
      <c r="CA104" s="235"/>
      <c r="CB104" s="235"/>
      <c r="CC104" s="235"/>
      <c r="CD104" s="235"/>
      <c r="CE104" s="235"/>
      <c r="CF104" s="235"/>
      <c r="CG104" s="235"/>
      <c r="CH104" s="244"/>
      <c r="CI104" s="708"/>
      <c r="CJ104" s="259"/>
      <c r="CK104" s="235"/>
      <c r="CL104" s="235"/>
      <c r="CM104" s="235"/>
      <c r="CN104" s="235"/>
      <c r="CO104" s="235"/>
      <c r="CP104" s="235"/>
      <c r="CQ104" s="235"/>
      <c r="CR104" s="235"/>
      <c r="CS104" s="235"/>
      <c r="CT104" s="235"/>
    </row>
    <row r="105" spans="1:98" x14ac:dyDescent="0.25">
      <c r="A105" s="763"/>
      <c r="B105" s="292">
        <v>100</v>
      </c>
      <c r="C105" s="293" t="s">
        <v>589</v>
      </c>
      <c r="D105" s="193" t="s">
        <v>417</v>
      </c>
      <c r="E105" s="31"/>
      <c r="F105" s="21"/>
      <c r="G105" s="21"/>
      <c r="H105" s="21"/>
      <c r="I105" s="21"/>
      <c r="J105" s="21"/>
      <c r="K105" s="46"/>
      <c r="L105" s="21"/>
      <c r="M105" s="21"/>
      <c r="N105" s="32"/>
      <c r="O105" s="164"/>
      <c r="P105" s="165"/>
      <c r="Q105" s="165"/>
      <c r="R105" s="165"/>
      <c r="S105" s="165"/>
      <c r="T105" s="165"/>
      <c r="U105" s="165"/>
      <c r="V105" s="165"/>
      <c r="W105" s="165"/>
      <c r="X105" s="165"/>
      <c r="Y105" s="176"/>
      <c r="Z105" s="177"/>
      <c r="AA105" s="219"/>
      <c r="AB105" s="208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24"/>
      <c r="AM105" s="243"/>
      <c r="AN105" s="235"/>
      <c r="AO105" s="235"/>
      <c r="AP105" s="235"/>
      <c r="AQ105" s="235"/>
      <c r="AR105" s="235"/>
      <c r="AS105" s="235"/>
      <c r="AT105" s="235"/>
      <c r="AU105" s="235"/>
      <c r="AV105" s="350"/>
      <c r="AW105" s="254"/>
      <c r="AX105" s="427"/>
      <c r="AY105" s="243"/>
      <c r="AZ105" s="235"/>
      <c r="BA105" s="235"/>
      <c r="BB105" s="235"/>
      <c r="BC105" s="235"/>
      <c r="BD105" s="235"/>
      <c r="BE105" s="235"/>
      <c r="BF105" s="235"/>
      <c r="BG105" s="235"/>
      <c r="BH105" s="235"/>
      <c r="BI105" s="235"/>
      <c r="BJ105" s="244"/>
      <c r="BK105" s="349"/>
      <c r="BL105" s="235"/>
      <c r="BM105" s="235"/>
      <c r="BN105" s="235"/>
      <c r="BO105" s="235"/>
      <c r="BP105" s="235"/>
      <c r="BQ105" s="235"/>
      <c r="BR105" s="235"/>
      <c r="BS105" s="235"/>
      <c r="BT105" s="235"/>
      <c r="BU105" s="235"/>
      <c r="BV105" s="244"/>
      <c r="BW105" s="235"/>
      <c r="BX105" s="254"/>
      <c r="BY105" s="235"/>
      <c r="BZ105" s="235"/>
      <c r="CA105" s="235"/>
      <c r="CB105" s="235"/>
      <c r="CC105" s="235"/>
      <c r="CD105" s="235"/>
      <c r="CE105" s="235"/>
      <c r="CF105" s="235"/>
      <c r="CG105" s="235"/>
      <c r="CH105" s="349"/>
      <c r="CI105" s="351"/>
      <c r="CJ105" s="259"/>
      <c r="CK105" s="235"/>
      <c r="CL105" s="235"/>
      <c r="CM105" s="235"/>
      <c r="CN105" s="235"/>
      <c r="CO105" s="235"/>
      <c r="CP105" s="235"/>
      <c r="CQ105" s="235"/>
      <c r="CR105" s="235"/>
      <c r="CS105" s="235"/>
      <c r="CT105" s="235"/>
    </row>
    <row r="106" spans="1:98" x14ac:dyDescent="0.25">
      <c r="A106" s="763"/>
      <c r="B106" s="292">
        <v>101</v>
      </c>
      <c r="C106" s="293" t="s">
        <v>590</v>
      </c>
      <c r="D106" s="193" t="s">
        <v>418</v>
      </c>
      <c r="E106" s="31"/>
      <c r="F106" s="21"/>
      <c r="G106" s="21"/>
      <c r="H106" s="21"/>
      <c r="I106" s="46"/>
      <c r="J106" s="21"/>
      <c r="K106" s="21"/>
      <c r="L106" s="21"/>
      <c r="M106" s="21"/>
      <c r="N106" s="32"/>
      <c r="O106" s="164"/>
      <c r="P106" s="165"/>
      <c r="Q106" s="165"/>
      <c r="R106" s="165"/>
      <c r="S106" s="165"/>
      <c r="T106" s="165"/>
      <c r="U106" s="165"/>
      <c r="V106" s="41"/>
      <c r="W106" s="176"/>
      <c r="X106" s="165"/>
      <c r="Y106" s="165"/>
      <c r="Z106" s="167"/>
      <c r="AA106" s="219"/>
      <c r="AB106" s="208"/>
      <c r="AC106" s="208"/>
      <c r="AD106" s="208"/>
      <c r="AE106" s="208"/>
      <c r="AF106" s="208"/>
      <c r="AG106" s="208"/>
      <c r="AH106" s="208"/>
      <c r="AI106" s="208"/>
      <c r="AJ106" s="41"/>
      <c r="AK106" s="208"/>
      <c r="AL106" s="223"/>
      <c r="AM106" s="243"/>
      <c r="AN106" s="235"/>
      <c r="AO106" s="235"/>
      <c r="AP106" s="235"/>
      <c r="AQ106" s="235"/>
      <c r="AR106" s="235"/>
      <c r="AS106" s="235"/>
      <c r="AT106" s="235"/>
      <c r="AU106" s="235"/>
      <c r="AV106" s="235"/>
      <c r="AW106" s="254"/>
      <c r="AX106" s="244"/>
      <c r="AY106" s="243"/>
      <c r="AZ106" s="235"/>
      <c r="BA106" s="235"/>
      <c r="BB106" s="235"/>
      <c r="BC106" s="235"/>
      <c r="BD106" s="235"/>
      <c r="BE106" s="235"/>
      <c r="BF106" s="235"/>
      <c r="BG106" s="235"/>
      <c r="BH106" s="235"/>
      <c r="BI106" s="235"/>
      <c r="BJ106" s="244"/>
      <c r="BK106" s="349"/>
      <c r="BL106" s="235"/>
      <c r="BM106" s="235"/>
      <c r="BN106" s="235"/>
      <c r="BO106" s="235"/>
      <c r="BP106" s="235"/>
      <c r="BQ106" s="235"/>
      <c r="BR106" s="235"/>
      <c r="BS106" s="235"/>
      <c r="BT106" s="235"/>
      <c r="BU106" s="235"/>
      <c r="BV106" s="244"/>
      <c r="BW106" s="235"/>
      <c r="BX106" s="254"/>
      <c r="BY106" s="235"/>
      <c r="BZ106" s="235"/>
      <c r="CA106" s="235"/>
      <c r="CB106" s="235"/>
      <c r="CC106" s="235"/>
      <c r="CD106" s="235"/>
      <c r="CE106" s="235"/>
      <c r="CF106" s="235"/>
      <c r="CG106" s="235"/>
      <c r="CH106" s="244"/>
      <c r="CI106" s="708"/>
      <c r="CJ106" s="259"/>
      <c r="CK106" s="235"/>
      <c r="CL106" s="235"/>
      <c r="CM106" s="235"/>
      <c r="CN106" s="235"/>
      <c r="CO106" s="235"/>
      <c r="CP106" s="235"/>
      <c r="CQ106" s="235"/>
      <c r="CR106" s="235"/>
      <c r="CS106" s="235"/>
      <c r="CT106" s="235"/>
    </row>
    <row r="107" spans="1:98" x14ac:dyDescent="0.25">
      <c r="A107" s="763"/>
      <c r="B107" s="292">
        <v>102</v>
      </c>
      <c r="C107" s="293" t="s">
        <v>591</v>
      </c>
      <c r="D107" s="193" t="s">
        <v>419</v>
      </c>
      <c r="E107" s="31"/>
      <c r="F107" s="21"/>
      <c r="G107" s="21"/>
      <c r="H107" s="21"/>
      <c r="I107" s="46"/>
      <c r="J107" s="21"/>
      <c r="K107" s="21"/>
      <c r="L107" s="21"/>
      <c r="M107" s="21"/>
      <c r="N107" s="32"/>
      <c r="O107" s="164"/>
      <c r="P107" s="165"/>
      <c r="Q107" s="165"/>
      <c r="R107" s="165"/>
      <c r="S107" s="165"/>
      <c r="T107" s="165"/>
      <c r="U107" s="165"/>
      <c r="V107" s="41"/>
      <c r="W107" s="165"/>
      <c r="X107" s="165"/>
      <c r="Y107" s="165"/>
      <c r="Z107" s="167"/>
      <c r="AA107" s="219"/>
      <c r="AB107" s="208"/>
      <c r="AC107" s="208"/>
      <c r="AD107" s="208"/>
      <c r="AE107" s="208"/>
      <c r="AF107" s="208"/>
      <c r="AG107" s="208"/>
      <c r="AH107" s="208"/>
      <c r="AI107" s="208"/>
      <c r="AJ107" s="41"/>
      <c r="AK107" s="208"/>
      <c r="AL107" s="223"/>
      <c r="AM107" s="243"/>
      <c r="AN107" s="235"/>
      <c r="AO107" s="235"/>
      <c r="AP107" s="235"/>
      <c r="AQ107" s="235"/>
      <c r="AR107" s="235"/>
      <c r="AS107" s="235"/>
      <c r="AT107" s="235"/>
      <c r="AU107" s="235"/>
      <c r="AV107" s="235"/>
      <c r="AW107" s="254"/>
      <c r="AX107" s="244"/>
      <c r="AY107" s="243"/>
      <c r="AZ107" s="235"/>
      <c r="BA107" s="235"/>
      <c r="BB107" s="235"/>
      <c r="BC107" s="235"/>
      <c r="BD107" s="235"/>
      <c r="BE107" s="235"/>
      <c r="BF107" s="235"/>
      <c r="BG107" s="235"/>
      <c r="BH107" s="235"/>
      <c r="BI107" s="235"/>
      <c r="BJ107" s="244"/>
      <c r="BK107" s="254"/>
      <c r="BL107" s="235"/>
      <c r="BM107" s="235"/>
      <c r="BN107" s="235"/>
      <c r="BO107" s="235"/>
      <c r="BP107" s="235"/>
      <c r="BQ107" s="235"/>
      <c r="BR107" s="235"/>
      <c r="BS107" s="235"/>
      <c r="BT107" s="235"/>
      <c r="BU107" s="235"/>
      <c r="BV107" s="244"/>
      <c r="BW107" s="235"/>
      <c r="BX107" s="254"/>
      <c r="BY107" s="235"/>
      <c r="BZ107" s="235"/>
      <c r="CA107" s="235"/>
      <c r="CB107" s="235"/>
      <c r="CC107" s="235"/>
      <c r="CD107" s="235"/>
      <c r="CE107" s="235"/>
      <c r="CF107" s="235"/>
      <c r="CG107" s="235"/>
      <c r="CH107" s="244"/>
      <c r="CI107" s="708"/>
      <c r="CJ107" s="259"/>
      <c r="CK107" s="235"/>
      <c r="CL107" s="235"/>
      <c r="CM107" s="235"/>
      <c r="CN107" s="235"/>
      <c r="CO107" s="235"/>
      <c r="CP107" s="235"/>
      <c r="CQ107" s="235"/>
      <c r="CR107" s="235"/>
      <c r="CS107" s="235"/>
      <c r="CT107" s="235"/>
    </row>
    <row r="108" spans="1:98" x14ac:dyDescent="0.25">
      <c r="A108" s="763"/>
      <c r="B108" s="292">
        <v>103</v>
      </c>
      <c r="C108" s="293" t="s">
        <v>592</v>
      </c>
      <c r="D108" s="193" t="s">
        <v>420</v>
      </c>
      <c r="E108" s="31"/>
      <c r="F108" s="21"/>
      <c r="G108" s="21"/>
      <c r="H108" s="21"/>
      <c r="I108" s="46" t="s">
        <v>186</v>
      </c>
      <c r="J108" s="21"/>
      <c r="K108" s="21"/>
      <c r="L108" s="21"/>
      <c r="M108" s="21"/>
      <c r="N108" s="32"/>
      <c r="O108" s="164"/>
      <c r="P108" s="165"/>
      <c r="Q108" s="165"/>
      <c r="R108" s="165"/>
      <c r="S108" s="165"/>
      <c r="T108" s="165"/>
      <c r="U108" s="165"/>
      <c r="V108" s="165"/>
      <c r="W108" s="41"/>
      <c r="X108" s="165"/>
      <c r="Y108" s="165"/>
      <c r="Z108" s="167"/>
      <c r="AA108" s="219"/>
      <c r="AB108" s="208"/>
      <c r="AC108" s="208"/>
      <c r="AD108" s="208"/>
      <c r="AE108" s="208"/>
      <c r="AF108" s="208"/>
      <c r="AG108" s="208"/>
      <c r="AH108" s="208"/>
      <c r="AI108" s="208"/>
      <c r="AJ108" s="41"/>
      <c r="AK108" s="220"/>
      <c r="AL108" s="223"/>
      <c r="AM108" s="243"/>
      <c r="AN108" s="235"/>
      <c r="AO108" s="235"/>
      <c r="AP108" s="235"/>
      <c r="AQ108" s="235"/>
      <c r="AR108" s="235"/>
      <c r="AS108" s="235"/>
      <c r="AT108" s="235"/>
      <c r="AU108" s="235"/>
      <c r="AV108" s="235"/>
      <c r="AW108" s="254"/>
      <c r="AX108" s="244"/>
      <c r="AY108" s="243"/>
      <c r="AZ108" s="235"/>
      <c r="BA108" s="235"/>
      <c r="BB108" s="235"/>
      <c r="BC108" s="235"/>
      <c r="BD108" s="235"/>
      <c r="BE108" s="235"/>
      <c r="BF108" s="235"/>
      <c r="BG108" s="235"/>
      <c r="BH108" s="235"/>
      <c r="BI108" s="235"/>
      <c r="BJ108" s="244"/>
      <c r="BK108" s="254"/>
      <c r="BL108" s="235"/>
      <c r="BM108" s="235"/>
      <c r="BN108" s="235"/>
      <c r="BO108" s="235"/>
      <c r="BP108" s="235"/>
      <c r="BQ108" s="235"/>
      <c r="BR108" s="235"/>
      <c r="BS108" s="235"/>
      <c r="BT108" s="235"/>
      <c r="BU108" s="235"/>
      <c r="BV108" s="244"/>
      <c r="BW108" s="235"/>
      <c r="BX108" s="254"/>
      <c r="BY108" s="235"/>
      <c r="BZ108" s="235"/>
      <c r="CA108" s="235"/>
      <c r="CB108" s="235"/>
      <c r="CC108" s="235"/>
      <c r="CD108" s="235"/>
      <c r="CE108" s="235"/>
      <c r="CF108" s="235"/>
      <c r="CG108" s="235"/>
      <c r="CH108" s="244"/>
      <c r="CI108" s="708"/>
      <c r="CJ108" s="259"/>
      <c r="CK108" s="235"/>
      <c r="CL108" s="235"/>
      <c r="CM108" s="235"/>
      <c r="CN108" s="235"/>
      <c r="CO108" s="235"/>
      <c r="CP108" s="235"/>
      <c r="CQ108" s="235"/>
      <c r="CR108" s="235"/>
      <c r="CS108" s="235"/>
      <c r="CT108" s="235"/>
    </row>
    <row r="109" spans="1:98" x14ac:dyDescent="0.25">
      <c r="A109" s="763"/>
      <c r="B109" s="292">
        <v>104</v>
      </c>
      <c r="C109" s="293" t="s">
        <v>593</v>
      </c>
      <c r="D109" s="193" t="s">
        <v>421</v>
      </c>
      <c r="E109" s="31"/>
      <c r="F109" s="21"/>
      <c r="G109" s="21"/>
      <c r="H109" s="21"/>
      <c r="I109" s="46"/>
      <c r="J109" s="21"/>
      <c r="K109" s="21"/>
      <c r="L109" s="21"/>
      <c r="M109" s="21"/>
      <c r="N109" s="32"/>
      <c r="O109" s="164"/>
      <c r="P109" s="165"/>
      <c r="Q109" s="165"/>
      <c r="R109" s="165"/>
      <c r="S109" s="165"/>
      <c r="T109" s="165"/>
      <c r="U109" s="165"/>
      <c r="V109" s="165"/>
      <c r="W109" s="41"/>
      <c r="X109" s="165"/>
      <c r="Y109" s="165"/>
      <c r="Z109" s="167"/>
      <c r="AA109" s="219"/>
      <c r="AB109" s="208"/>
      <c r="AC109" s="208"/>
      <c r="AD109" s="208"/>
      <c r="AE109" s="208"/>
      <c r="AF109" s="208"/>
      <c r="AG109" s="208"/>
      <c r="AH109" s="208"/>
      <c r="AI109" s="208"/>
      <c r="AJ109" s="41"/>
      <c r="AK109" s="208"/>
      <c r="AL109" s="223"/>
      <c r="AM109" s="243"/>
      <c r="AN109" s="235"/>
      <c r="AO109" s="235"/>
      <c r="AP109" s="235"/>
      <c r="AQ109" s="235"/>
      <c r="AR109" s="235"/>
      <c r="AS109" s="235"/>
      <c r="AT109" s="235"/>
      <c r="AU109" s="235"/>
      <c r="AV109" s="235"/>
      <c r="AW109" s="254"/>
      <c r="AX109" s="244"/>
      <c r="AY109" s="243"/>
      <c r="AZ109" s="235"/>
      <c r="BA109" s="235"/>
      <c r="BB109" s="235"/>
      <c r="BC109" s="235"/>
      <c r="BD109" s="235"/>
      <c r="BE109" s="235"/>
      <c r="BF109" s="235"/>
      <c r="BG109" s="235"/>
      <c r="BH109" s="235"/>
      <c r="BI109" s="235"/>
      <c r="BJ109" s="349"/>
      <c r="BK109" s="243"/>
      <c r="BL109" s="235"/>
      <c r="BM109" s="235"/>
      <c r="BN109" s="235"/>
      <c r="BO109" s="235"/>
      <c r="BP109" s="235"/>
      <c r="BQ109" s="235"/>
      <c r="BR109" s="235"/>
      <c r="BS109" s="235"/>
      <c r="BT109" s="235"/>
      <c r="BU109" s="235"/>
      <c r="BV109" s="244"/>
      <c r="BW109" s="254"/>
      <c r="BX109" s="235"/>
      <c r="BY109" s="235"/>
      <c r="BZ109" s="235"/>
      <c r="CA109" s="235"/>
      <c r="CB109" s="235"/>
      <c r="CC109" s="235"/>
      <c r="CD109" s="235"/>
      <c r="CE109" s="235"/>
      <c r="CF109" s="235"/>
      <c r="CG109" s="235"/>
      <c r="CH109" s="244"/>
      <c r="CI109" s="708"/>
      <c r="CJ109" s="235"/>
      <c r="CK109" s="235"/>
      <c r="CL109" s="235"/>
      <c r="CM109" s="235"/>
      <c r="CN109" s="235"/>
      <c r="CO109" s="235"/>
      <c r="CP109" s="235"/>
      <c r="CQ109" s="235"/>
      <c r="CR109" s="235"/>
      <c r="CS109" s="235"/>
      <c r="CT109" s="235"/>
    </row>
    <row r="110" spans="1:98" x14ac:dyDescent="0.25">
      <c r="A110" s="763"/>
      <c r="B110" s="292">
        <v>105</v>
      </c>
      <c r="C110" s="293" t="s">
        <v>594</v>
      </c>
      <c r="D110" s="193" t="s">
        <v>422</v>
      </c>
      <c r="E110" s="31"/>
      <c r="F110" s="21"/>
      <c r="G110" s="21"/>
      <c r="H110" s="21"/>
      <c r="I110" s="46"/>
      <c r="J110" s="21"/>
      <c r="K110" s="21"/>
      <c r="L110" s="21"/>
      <c r="M110" s="21"/>
      <c r="N110" s="32"/>
      <c r="O110" s="164"/>
      <c r="P110" s="165"/>
      <c r="Q110" s="165"/>
      <c r="R110" s="165"/>
      <c r="S110" s="165"/>
      <c r="T110" s="165"/>
      <c r="U110" s="165"/>
      <c r="V110" s="165"/>
      <c r="W110" s="41"/>
      <c r="X110" s="165"/>
      <c r="Y110" s="165"/>
      <c r="Z110" s="167"/>
      <c r="AA110" s="219"/>
      <c r="AB110" s="208"/>
      <c r="AC110" s="208"/>
      <c r="AD110" s="208"/>
      <c r="AE110" s="208"/>
      <c r="AF110" s="208"/>
      <c r="AG110" s="208"/>
      <c r="AH110" s="208"/>
      <c r="AI110" s="41"/>
      <c r="AJ110" s="208"/>
      <c r="AK110" s="208"/>
      <c r="AL110" s="223"/>
      <c r="AM110" s="243"/>
      <c r="AN110" s="235"/>
      <c r="AO110" s="235"/>
      <c r="AP110" s="235"/>
      <c r="AQ110" s="235"/>
      <c r="AR110" s="235"/>
      <c r="AS110" s="235"/>
      <c r="AT110" s="235"/>
      <c r="AU110" s="254"/>
      <c r="AV110" s="235"/>
      <c r="AW110" s="235"/>
      <c r="AX110" s="244"/>
      <c r="AY110" s="243"/>
      <c r="AZ110" s="235"/>
      <c r="BA110" s="235"/>
      <c r="BB110" s="235"/>
      <c r="BC110" s="235"/>
      <c r="BD110" s="235"/>
      <c r="BE110" s="235"/>
      <c r="BF110" s="235"/>
      <c r="BG110" s="235"/>
      <c r="BH110" s="235"/>
      <c r="BI110" s="235"/>
      <c r="BJ110" s="254"/>
      <c r="BK110" s="243"/>
      <c r="BL110" s="235"/>
      <c r="BM110" s="235"/>
      <c r="BN110" s="235"/>
      <c r="BO110" s="235"/>
      <c r="BP110" s="235"/>
      <c r="BQ110" s="235"/>
      <c r="BR110" s="235"/>
      <c r="BS110" s="235"/>
      <c r="BT110" s="235"/>
      <c r="BU110" s="235"/>
      <c r="BV110" s="244"/>
      <c r="BW110" s="254"/>
      <c r="BX110" s="235"/>
      <c r="BY110" s="235"/>
      <c r="BZ110" s="235"/>
      <c r="CA110" s="235"/>
      <c r="CB110" s="235"/>
      <c r="CC110" s="235"/>
      <c r="CD110" s="235"/>
      <c r="CE110" s="235"/>
      <c r="CF110" s="235"/>
      <c r="CG110" s="235"/>
      <c r="CH110" s="244"/>
      <c r="CI110" s="708"/>
      <c r="CJ110" s="235"/>
      <c r="CK110" s="235"/>
      <c r="CL110" s="235"/>
      <c r="CM110" s="235"/>
      <c r="CN110" s="235"/>
      <c r="CO110" s="235"/>
      <c r="CP110" s="235"/>
      <c r="CQ110" s="235"/>
      <c r="CR110" s="235"/>
      <c r="CS110" s="235"/>
      <c r="CT110" s="235"/>
    </row>
    <row r="111" spans="1:98" x14ac:dyDescent="0.25">
      <c r="A111" s="763"/>
      <c r="B111" s="292">
        <v>106</v>
      </c>
      <c r="C111" s="293" t="s">
        <v>595</v>
      </c>
      <c r="D111" s="193" t="s">
        <v>423</v>
      </c>
      <c r="E111" s="31"/>
      <c r="F111" s="21"/>
      <c r="G111" s="21"/>
      <c r="H111" s="21"/>
      <c r="I111" s="46"/>
      <c r="J111" s="21"/>
      <c r="K111" s="21"/>
      <c r="L111" s="21"/>
      <c r="M111" s="21"/>
      <c r="N111" s="32"/>
      <c r="O111" s="164"/>
      <c r="P111" s="165"/>
      <c r="Q111" s="165"/>
      <c r="R111" s="165"/>
      <c r="S111" s="165"/>
      <c r="T111" s="165"/>
      <c r="U111" s="165"/>
      <c r="V111" s="165"/>
      <c r="W111" s="41"/>
      <c r="X111" s="165"/>
      <c r="Y111" s="165"/>
      <c r="Z111" s="167"/>
      <c r="AA111" s="219"/>
      <c r="AB111" s="208"/>
      <c r="AC111" s="208"/>
      <c r="AD111" s="208"/>
      <c r="AE111" s="208"/>
      <c r="AF111" s="208"/>
      <c r="AG111" s="208"/>
      <c r="AH111" s="208"/>
      <c r="AI111" s="41"/>
      <c r="AJ111" s="208"/>
      <c r="AK111" s="208"/>
      <c r="AL111" s="223"/>
      <c r="AM111" s="243"/>
      <c r="AN111" s="235"/>
      <c r="AO111" s="235"/>
      <c r="AP111" s="235"/>
      <c r="AQ111" s="235"/>
      <c r="AR111" s="235"/>
      <c r="AS111" s="235"/>
      <c r="AT111" s="235"/>
      <c r="AU111" s="254"/>
      <c r="AV111" s="235"/>
      <c r="AW111" s="235"/>
      <c r="AX111" s="244"/>
      <c r="AY111" s="243"/>
      <c r="AZ111" s="235"/>
      <c r="BA111" s="235"/>
      <c r="BB111" s="235"/>
      <c r="BC111" s="235"/>
      <c r="BD111" s="235"/>
      <c r="BE111" s="235"/>
      <c r="BF111" s="235"/>
      <c r="BG111" s="235"/>
      <c r="BH111" s="235"/>
      <c r="BI111" s="235"/>
      <c r="BJ111" s="254"/>
      <c r="BK111" s="243"/>
      <c r="BL111" s="235"/>
      <c r="BM111" s="235"/>
      <c r="BN111" s="235"/>
      <c r="BO111" s="235"/>
      <c r="BP111" s="235"/>
      <c r="BQ111" s="235"/>
      <c r="BR111" s="235"/>
      <c r="BS111" s="235"/>
      <c r="BT111" s="235"/>
      <c r="BU111" s="235"/>
      <c r="BV111" s="244"/>
      <c r="BW111" s="254"/>
      <c r="BX111" s="235"/>
      <c r="BY111" s="235"/>
      <c r="BZ111" s="235"/>
      <c r="CA111" s="235"/>
      <c r="CB111" s="235"/>
      <c r="CC111" s="235"/>
      <c r="CD111" s="235"/>
      <c r="CE111" s="235"/>
      <c r="CF111" s="235"/>
      <c r="CG111" s="235"/>
      <c r="CH111" s="244"/>
      <c r="CI111" s="708"/>
      <c r="CJ111" s="235"/>
      <c r="CK111" s="235"/>
      <c r="CL111" s="235"/>
      <c r="CM111" s="235"/>
      <c r="CN111" s="235"/>
      <c r="CO111" s="235"/>
      <c r="CP111" s="235"/>
      <c r="CQ111" s="235"/>
      <c r="CR111" s="235"/>
      <c r="CS111" s="235"/>
      <c r="CT111" s="235"/>
    </row>
    <row r="112" spans="1:98" x14ac:dyDescent="0.25">
      <c r="A112" s="763"/>
      <c r="B112" s="292">
        <v>107</v>
      </c>
      <c r="C112" s="293" t="s">
        <v>596</v>
      </c>
      <c r="D112" s="193" t="s">
        <v>424</v>
      </c>
      <c r="E112" s="31"/>
      <c r="F112" s="21"/>
      <c r="G112" s="21"/>
      <c r="H112" s="21"/>
      <c r="I112" s="46"/>
      <c r="J112" s="21"/>
      <c r="K112" s="21"/>
      <c r="L112" s="21"/>
      <c r="M112" s="21"/>
      <c r="N112" s="32"/>
      <c r="O112" s="164"/>
      <c r="P112" s="165"/>
      <c r="Q112" s="165"/>
      <c r="R112" s="165"/>
      <c r="S112" s="165"/>
      <c r="T112" s="165"/>
      <c r="U112" s="165"/>
      <c r="V112" s="165"/>
      <c r="W112" s="41"/>
      <c r="X112" s="165"/>
      <c r="Y112" s="165"/>
      <c r="Z112" s="167"/>
      <c r="AA112" s="219"/>
      <c r="AB112" s="208"/>
      <c r="AC112" s="208"/>
      <c r="AD112" s="208"/>
      <c r="AE112" s="208"/>
      <c r="AF112" s="208"/>
      <c r="AG112" s="208"/>
      <c r="AH112" s="208"/>
      <c r="AI112" s="41"/>
      <c r="AJ112" s="208"/>
      <c r="AK112" s="208"/>
      <c r="AL112" s="223"/>
      <c r="AM112" s="243"/>
      <c r="AN112" s="235"/>
      <c r="AO112" s="235"/>
      <c r="AP112" s="235"/>
      <c r="AQ112" s="235"/>
      <c r="AR112" s="235"/>
      <c r="AS112" s="235"/>
      <c r="AT112" s="235"/>
      <c r="AU112" s="254"/>
      <c r="AV112" s="235"/>
      <c r="AW112" s="235"/>
      <c r="AX112" s="244"/>
      <c r="AY112" s="243"/>
      <c r="AZ112" s="235"/>
      <c r="BA112" s="235"/>
      <c r="BB112" s="235"/>
      <c r="BC112" s="235"/>
      <c r="BD112" s="235"/>
      <c r="BE112" s="235"/>
      <c r="BF112" s="235"/>
      <c r="BG112" s="235"/>
      <c r="BH112" s="235"/>
      <c r="BI112" s="235"/>
      <c r="BJ112" s="254"/>
      <c r="BK112" s="243"/>
      <c r="BL112" s="235"/>
      <c r="BM112" s="235"/>
      <c r="BN112" s="235"/>
      <c r="BO112" s="235"/>
      <c r="BP112" s="235"/>
      <c r="BQ112" s="235"/>
      <c r="BR112" s="235"/>
      <c r="BS112" s="235"/>
      <c r="BT112" s="235"/>
      <c r="BU112" s="235"/>
      <c r="BV112" s="244"/>
      <c r="BW112" s="254"/>
      <c r="BX112" s="235"/>
      <c r="BY112" s="235"/>
      <c r="BZ112" s="235"/>
      <c r="CA112" s="235"/>
      <c r="CB112" s="235"/>
      <c r="CC112" s="235"/>
      <c r="CD112" s="235"/>
      <c r="CE112" s="235"/>
      <c r="CF112" s="235"/>
      <c r="CG112" s="235"/>
      <c r="CH112" s="244"/>
      <c r="CI112" s="706"/>
      <c r="CJ112" s="235"/>
      <c r="CK112" s="235"/>
      <c r="CL112" s="254"/>
      <c r="CM112" s="235"/>
      <c r="CN112" s="235"/>
      <c r="CO112" s="235"/>
      <c r="CP112" s="235"/>
      <c r="CQ112" s="235"/>
      <c r="CR112" s="235"/>
      <c r="CS112" s="235"/>
      <c r="CT112" s="235"/>
    </row>
    <row r="113" spans="1:98" x14ac:dyDescent="0.25">
      <c r="A113" s="763"/>
      <c r="B113" s="292">
        <v>108</v>
      </c>
      <c r="C113" s="293" t="s">
        <v>597</v>
      </c>
      <c r="D113" s="193" t="s">
        <v>425</v>
      </c>
      <c r="E113" s="31"/>
      <c r="F113" s="21"/>
      <c r="G113" s="21"/>
      <c r="H113" s="21"/>
      <c r="I113" s="46"/>
      <c r="J113" s="21"/>
      <c r="K113" s="21"/>
      <c r="L113" s="21"/>
      <c r="M113" s="21"/>
      <c r="N113" s="32"/>
      <c r="O113" s="164"/>
      <c r="P113" s="165"/>
      <c r="Q113" s="165"/>
      <c r="R113" s="165"/>
      <c r="S113" s="165"/>
      <c r="T113" s="165"/>
      <c r="U113" s="165"/>
      <c r="V113" s="165"/>
      <c r="W113" s="41"/>
      <c r="X113" s="165"/>
      <c r="Y113" s="165"/>
      <c r="Z113" s="167"/>
      <c r="AA113" s="219"/>
      <c r="AB113" s="208"/>
      <c r="AC113" s="208"/>
      <c r="AD113" s="208"/>
      <c r="AE113" s="208"/>
      <c r="AF113" s="208"/>
      <c r="AG113" s="208"/>
      <c r="AH113" s="208"/>
      <c r="AI113" s="41"/>
      <c r="AJ113" s="208"/>
      <c r="AK113" s="208"/>
      <c r="AL113" s="223"/>
      <c r="AM113" s="243"/>
      <c r="AN113" s="235"/>
      <c r="AO113" s="235"/>
      <c r="AP113" s="235"/>
      <c r="AQ113" s="235"/>
      <c r="AR113" s="235"/>
      <c r="AS113" s="235"/>
      <c r="AT113" s="235"/>
      <c r="AU113" s="254"/>
      <c r="AV113" s="235"/>
      <c r="AW113" s="235"/>
      <c r="AX113" s="244"/>
      <c r="AY113" s="243"/>
      <c r="AZ113" s="235"/>
      <c r="BA113" s="235"/>
      <c r="BB113" s="235"/>
      <c r="BC113" s="235"/>
      <c r="BD113" s="235"/>
      <c r="BE113" s="235"/>
      <c r="BF113" s="235"/>
      <c r="BG113" s="235"/>
      <c r="BH113" s="235"/>
      <c r="BI113" s="235"/>
      <c r="BJ113" s="254"/>
      <c r="BK113" s="243"/>
      <c r="BL113" s="235"/>
      <c r="BM113" s="235"/>
      <c r="BN113" s="235"/>
      <c r="BO113" s="235"/>
      <c r="BP113" s="235"/>
      <c r="BQ113" s="235"/>
      <c r="BR113" s="235"/>
      <c r="BS113" s="235"/>
      <c r="BT113" s="235"/>
      <c r="BU113" s="235"/>
      <c r="BV113" s="244"/>
      <c r="BW113" s="254"/>
      <c r="BX113" s="235"/>
      <c r="BY113" s="235"/>
      <c r="BZ113" s="235"/>
      <c r="CA113" s="235"/>
      <c r="CB113" s="235"/>
      <c r="CC113" s="235"/>
      <c r="CD113" s="235"/>
      <c r="CE113" s="235"/>
      <c r="CF113" s="235"/>
      <c r="CG113" s="235"/>
      <c r="CH113" s="244"/>
      <c r="CI113" s="706"/>
      <c r="CJ113" s="235"/>
      <c r="CK113" s="235"/>
      <c r="CL113" s="254"/>
      <c r="CM113" s="235"/>
      <c r="CN113" s="235"/>
      <c r="CO113" s="235"/>
      <c r="CP113" s="235"/>
      <c r="CQ113" s="235"/>
      <c r="CR113" s="235"/>
      <c r="CS113" s="235"/>
      <c r="CT113" s="235"/>
    </row>
    <row r="114" spans="1:98" x14ac:dyDescent="0.25">
      <c r="A114" s="763"/>
      <c r="B114" s="292">
        <v>109</v>
      </c>
      <c r="C114" s="293" t="s">
        <v>598</v>
      </c>
      <c r="D114" s="193" t="s">
        <v>426</v>
      </c>
      <c r="E114" s="31"/>
      <c r="F114" s="21"/>
      <c r="G114" s="46"/>
      <c r="H114" s="21"/>
      <c r="I114" s="21"/>
      <c r="J114" s="21"/>
      <c r="K114" s="21"/>
      <c r="L114" s="21"/>
      <c r="M114" s="21"/>
      <c r="N114" s="32"/>
      <c r="O114" s="164"/>
      <c r="P114" s="165"/>
      <c r="Q114" s="165"/>
      <c r="R114" s="165"/>
      <c r="S114" s="165"/>
      <c r="T114" s="93"/>
      <c r="U114" s="165"/>
      <c r="V114" s="165"/>
      <c r="W114" s="165"/>
      <c r="X114" s="165"/>
      <c r="Y114" s="165"/>
      <c r="Z114" s="167"/>
      <c r="AA114" s="219"/>
      <c r="AB114" s="208"/>
      <c r="AC114" s="208"/>
      <c r="AD114" s="208"/>
      <c r="AE114" s="208"/>
      <c r="AF114" s="220"/>
      <c r="AG114" s="220"/>
      <c r="AH114" s="220"/>
      <c r="AI114" s="41"/>
      <c r="AJ114" s="208"/>
      <c r="AK114" s="208"/>
      <c r="AL114" s="223"/>
      <c r="AM114" s="243"/>
      <c r="AN114" s="235"/>
      <c r="AO114" s="235"/>
      <c r="AP114" s="235"/>
      <c r="AQ114" s="235"/>
      <c r="AR114" s="235"/>
      <c r="AS114" s="235"/>
      <c r="AT114" s="235"/>
      <c r="AU114" s="254"/>
      <c r="AV114" s="235"/>
      <c r="AW114" s="235"/>
      <c r="AX114" s="244"/>
      <c r="AY114" s="243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54"/>
      <c r="BK114" s="243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44"/>
      <c r="BW114" s="254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44"/>
      <c r="CI114" s="706"/>
      <c r="CJ114" s="235"/>
      <c r="CK114" s="235"/>
      <c r="CL114" s="254"/>
      <c r="CM114" s="235"/>
      <c r="CN114" s="235"/>
      <c r="CO114" s="235"/>
      <c r="CP114" s="235"/>
      <c r="CQ114" s="235"/>
      <c r="CR114" s="235"/>
      <c r="CS114" s="235"/>
      <c r="CT114" s="235"/>
    </row>
    <row r="115" spans="1:98" x14ac:dyDescent="0.25">
      <c r="A115" s="763"/>
      <c r="B115" s="292">
        <v>110</v>
      </c>
      <c r="C115" s="293" t="s">
        <v>599</v>
      </c>
      <c r="D115" s="193" t="s">
        <v>427</v>
      </c>
      <c r="E115" s="31"/>
      <c r="F115" s="21"/>
      <c r="G115" s="21"/>
      <c r="H115" s="21"/>
      <c r="I115" s="46"/>
      <c r="J115" s="21"/>
      <c r="K115" s="21"/>
      <c r="L115" s="21"/>
      <c r="M115" s="21"/>
      <c r="N115" s="32"/>
      <c r="O115" s="164"/>
      <c r="P115" s="165"/>
      <c r="Q115" s="165"/>
      <c r="R115" s="165"/>
      <c r="S115" s="165"/>
      <c r="T115" s="165"/>
      <c r="U115" s="165"/>
      <c r="V115" s="165"/>
      <c r="W115" s="41"/>
      <c r="X115" s="165"/>
      <c r="Y115" s="165"/>
      <c r="Z115" s="167"/>
      <c r="AA115" s="219"/>
      <c r="AB115" s="208"/>
      <c r="AC115" s="208"/>
      <c r="AD115" s="208"/>
      <c r="AE115" s="208"/>
      <c r="AF115" s="208"/>
      <c r="AG115" s="208"/>
      <c r="AH115" s="208"/>
      <c r="AI115" s="41"/>
      <c r="AJ115" s="220"/>
      <c r="AK115" s="208"/>
      <c r="AL115" s="223"/>
      <c r="AM115" s="243"/>
      <c r="AN115" s="235"/>
      <c r="AO115" s="235"/>
      <c r="AP115" s="235"/>
      <c r="AQ115" s="235"/>
      <c r="AR115" s="235"/>
      <c r="AS115" s="235"/>
      <c r="AT115" s="235"/>
      <c r="AU115" s="254"/>
      <c r="AV115" s="235"/>
      <c r="AW115" s="235"/>
      <c r="AX115" s="244"/>
      <c r="AY115" s="243"/>
      <c r="AZ115" s="235"/>
      <c r="BA115" s="235"/>
      <c r="BB115" s="235"/>
      <c r="BC115" s="235"/>
      <c r="BD115" s="235"/>
      <c r="BE115" s="235"/>
      <c r="BF115" s="235"/>
      <c r="BG115" s="235"/>
      <c r="BH115" s="235"/>
      <c r="BI115" s="235"/>
      <c r="BJ115" s="254"/>
      <c r="BK115" s="243"/>
      <c r="BL115" s="235"/>
      <c r="BM115" s="235"/>
      <c r="BN115" s="235"/>
      <c r="BO115" s="235"/>
      <c r="BP115" s="235"/>
      <c r="BQ115" s="235"/>
      <c r="BR115" s="235"/>
      <c r="BS115" s="235"/>
      <c r="BT115" s="235"/>
      <c r="BU115" s="235"/>
      <c r="BV115" s="244"/>
      <c r="BW115" s="254"/>
      <c r="BX115" s="235"/>
      <c r="BY115" s="235"/>
      <c r="BZ115" s="235"/>
      <c r="CA115" s="235"/>
      <c r="CB115" s="235"/>
      <c r="CC115" s="235"/>
      <c r="CD115" s="235"/>
      <c r="CE115" s="235"/>
      <c r="CF115" s="235"/>
      <c r="CG115" s="235"/>
      <c r="CH115" s="244"/>
      <c r="CI115" s="706"/>
      <c r="CJ115" s="235"/>
      <c r="CK115" s="235"/>
      <c r="CL115" s="254"/>
      <c r="CM115" s="235"/>
      <c r="CN115" s="235"/>
      <c r="CO115" s="235"/>
      <c r="CP115" s="235"/>
      <c r="CQ115" s="235"/>
      <c r="CR115" s="235"/>
      <c r="CS115" s="235"/>
      <c r="CT115" s="235"/>
    </row>
    <row r="116" spans="1:98" x14ac:dyDescent="0.25">
      <c r="A116" s="763"/>
      <c r="B116" s="292">
        <v>111</v>
      </c>
      <c r="C116" s="293" t="s">
        <v>600</v>
      </c>
      <c r="D116" s="193" t="s">
        <v>428</v>
      </c>
      <c r="E116" s="31"/>
      <c r="F116" s="21"/>
      <c r="G116" s="21"/>
      <c r="H116" s="21"/>
      <c r="I116" s="21"/>
      <c r="J116" s="21"/>
      <c r="K116" s="46"/>
      <c r="L116" s="21"/>
      <c r="M116" s="21"/>
      <c r="N116" s="32"/>
      <c r="O116" s="164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77"/>
      <c r="AA116" s="219"/>
      <c r="AB116" s="208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24"/>
      <c r="AM116" s="243"/>
      <c r="AN116" s="235"/>
      <c r="AO116" s="235"/>
      <c r="AP116" s="235"/>
      <c r="AQ116" s="235"/>
      <c r="AR116" s="235"/>
      <c r="AS116" s="235"/>
      <c r="AT116" s="235"/>
      <c r="AU116" s="235"/>
      <c r="AV116" s="235"/>
      <c r="AW116" s="235"/>
      <c r="AX116" s="349"/>
      <c r="AY116" s="243"/>
      <c r="AZ116" s="235"/>
      <c r="BA116" s="235"/>
      <c r="BB116" s="235"/>
      <c r="BC116" s="235"/>
      <c r="BD116" s="235"/>
      <c r="BE116" s="235"/>
      <c r="BF116" s="235"/>
      <c r="BG116" s="235"/>
      <c r="BH116" s="235"/>
      <c r="BI116" s="235"/>
      <c r="BJ116" s="244"/>
      <c r="BK116" s="252"/>
      <c r="BL116" s="235"/>
      <c r="BM116" s="235"/>
      <c r="BN116" s="235"/>
      <c r="BO116" s="235"/>
      <c r="BP116" s="235"/>
      <c r="BQ116" s="235"/>
      <c r="BR116" s="235"/>
      <c r="BS116" s="235"/>
      <c r="BT116" s="235"/>
      <c r="BU116" s="235"/>
      <c r="BV116" s="244"/>
      <c r="BW116" s="254"/>
      <c r="BX116" s="235"/>
      <c r="BY116" s="235"/>
      <c r="BZ116" s="235"/>
      <c r="CA116" s="235"/>
      <c r="CB116" s="235"/>
      <c r="CC116" s="235"/>
      <c r="CD116" s="235"/>
      <c r="CE116" s="235"/>
      <c r="CF116" s="235"/>
      <c r="CG116" s="235"/>
      <c r="CH116" s="349"/>
      <c r="CI116" s="706"/>
      <c r="CJ116" s="235"/>
      <c r="CK116" s="235"/>
      <c r="CL116" s="235"/>
      <c r="CM116" s="235"/>
      <c r="CN116" s="235"/>
      <c r="CO116" s="235"/>
      <c r="CP116" s="235"/>
      <c r="CQ116" s="235"/>
      <c r="CR116" s="235"/>
      <c r="CS116" s="235"/>
      <c r="CT116" s="235"/>
    </row>
    <row r="117" spans="1:98" x14ac:dyDescent="0.25">
      <c r="A117" s="763"/>
      <c r="B117" s="292">
        <v>112</v>
      </c>
      <c r="C117" s="293" t="s">
        <v>601</v>
      </c>
      <c r="D117" s="193" t="s">
        <v>429</v>
      </c>
      <c r="E117" s="31"/>
      <c r="F117" s="21"/>
      <c r="G117" s="21"/>
      <c r="H117" s="21"/>
      <c r="I117" s="21"/>
      <c r="J117" s="21"/>
      <c r="K117" s="46"/>
      <c r="L117" s="21"/>
      <c r="M117" s="21"/>
      <c r="N117" s="32"/>
      <c r="O117" s="164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77"/>
      <c r="AA117" s="219"/>
      <c r="AB117" s="208"/>
      <c r="AC117" s="208"/>
      <c r="AD117" s="208"/>
      <c r="AE117" s="208"/>
      <c r="AF117" s="208"/>
      <c r="AG117" s="208"/>
      <c r="AH117" s="208"/>
      <c r="AI117" s="208"/>
      <c r="AJ117" s="208"/>
      <c r="AK117" s="208"/>
      <c r="AL117" s="224"/>
      <c r="AM117" s="243"/>
      <c r="AN117" s="235"/>
      <c r="AO117" s="235"/>
      <c r="AP117" s="235"/>
      <c r="AQ117" s="235"/>
      <c r="AR117" s="235"/>
      <c r="AS117" s="235"/>
      <c r="AT117" s="235"/>
      <c r="AU117" s="235"/>
      <c r="AV117" s="235"/>
      <c r="AW117" s="235"/>
      <c r="AY117" s="243"/>
      <c r="AZ117" s="349"/>
      <c r="BA117" s="235"/>
      <c r="BB117" s="235"/>
      <c r="BC117" s="235"/>
      <c r="BD117" s="235"/>
      <c r="BE117" s="235"/>
      <c r="BF117" s="235"/>
      <c r="BG117" s="235"/>
      <c r="BH117" s="235"/>
      <c r="BI117" s="235"/>
      <c r="BJ117" s="254"/>
      <c r="BK117" s="243"/>
      <c r="BL117" s="235"/>
      <c r="BM117" s="235"/>
      <c r="BN117" s="235"/>
      <c r="BO117" s="235"/>
      <c r="BP117" s="235"/>
      <c r="BQ117" s="235"/>
      <c r="BR117" s="235"/>
      <c r="BS117" s="235"/>
      <c r="BT117" s="235"/>
      <c r="BU117" s="235"/>
      <c r="BV117" s="244"/>
      <c r="BW117" s="254"/>
      <c r="BX117" s="235"/>
      <c r="BY117" s="235"/>
      <c r="BZ117" s="235"/>
      <c r="CA117" s="235"/>
      <c r="CB117" s="235"/>
      <c r="CC117" s="235"/>
      <c r="CD117" s="235"/>
      <c r="CE117" s="235"/>
      <c r="CF117" s="235"/>
      <c r="CG117" s="235"/>
      <c r="CH117" s="244"/>
      <c r="CI117" s="706"/>
      <c r="CJ117" s="235"/>
      <c r="CK117" s="235"/>
      <c r="CL117" s="254"/>
      <c r="CM117" s="235"/>
      <c r="CN117" s="235"/>
      <c r="CO117" s="235"/>
      <c r="CP117" s="235"/>
      <c r="CQ117" s="235"/>
      <c r="CR117" s="235"/>
      <c r="CS117" s="235"/>
      <c r="CT117" s="235"/>
    </row>
    <row r="118" spans="1:98" x14ac:dyDescent="0.25">
      <c r="A118" s="763"/>
      <c r="B118" s="292">
        <v>113</v>
      </c>
      <c r="C118" s="293" t="s">
        <v>602</v>
      </c>
      <c r="D118" s="193" t="s">
        <v>430</v>
      </c>
      <c r="E118" s="31"/>
      <c r="F118" s="21"/>
      <c r="G118" s="21"/>
      <c r="H118" s="21"/>
      <c r="I118" s="21"/>
      <c r="J118" s="21"/>
      <c r="K118" s="46"/>
      <c r="L118" s="21"/>
      <c r="M118" s="21"/>
      <c r="N118" s="32"/>
      <c r="O118" s="164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77"/>
      <c r="AA118" s="219"/>
      <c r="AB118" s="208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23"/>
      <c r="AM118" s="252"/>
      <c r="AN118" s="235"/>
      <c r="AO118" s="235"/>
      <c r="AP118" s="235"/>
      <c r="AQ118" s="235"/>
      <c r="AR118" s="235"/>
      <c r="AS118" s="235"/>
      <c r="AT118" s="235"/>
      <c r="AU118" s="235"/>
      <c r="AV118" s="235"/>
      <c r="AW118" s="235"/>
      <c r="AX118" s="244"/>
      <c r="AY118" s="243"/>
      <c r="AZ118" s="254"/>
      <c r="BA118" s="235"/>
      <c r="BB118" s="235"/>
      <c r="BC118" s="235"/>
      <c r="BD118" s="235"/>
      <c r="BE118" s="235"/>
      <c r="BF118" s="235"/>
      <c r="BG118" s="235"/>
      <c r="BH118" s="235"/>
      <c r="BI118" s="235"/>
      <c r="BJ118" s="254"/>
      <c r="BK118" s="243"/>
      <c r="BL118" s="235"/>
      <c r="BM118" s="235"/>
      <c r="BN118" s="235"/>
      <c r="BO118" s="235"/>
      <c r="BP118" s="235"/>
      <c r="BQ118" s="235"/>
      <c r="BR118" s="235"/>
      <c r="BS118" s="235"/>
      <c r="BT118" s="235"/>
      <c r="BU118" s="235"/>
      <c r="BV118" s="244"/>
      <c r="BW118" s="254"/>
      <c r="BX118" s="235"/>
      <c r="BY118" s="235"/>
      <c r="BZ118" s="235"/>
      <c r="CA118" s="235"/>
      <c r="CB118" s="235"/>
      <c r="CC118" s="235"/>
      <c r="CD118" s="235"/>
      <c r="CE118" s="235"/>
      <c r="CF118" s="235"/>
      <c r="CG118" s="235"/>
      <c r="CH118" s="349"/>
      <c r="CI118" s="706"/>
      <c r="CJ118" s="235"/>
      <c r="CK118" s="235"/>
      <c r="CL118" s="235"/>
      <c r="CM118" s="235"/>
      <c r="CN118" s="235"/>
      <c r="CO118" s="235"/>
      <c r="CP118" s="235"/>
      <c r="CQ118" s="235"/>
      <c r="CR118" s="235"/>
      <c r="CS118" s="235"/>
      <c r="CT118" s="235"/>
    </row>
    <row r="119" spans="1:98" x14ac:dyDescent="0.25">
      <c r="A119" s="763"/>
      <c r="B119" s="292">
        <v>114</v>
      </c>
      <c r="C119" s="293" t="s">
        <v>603</v>
      </c>
      <c r="D119" s="193" t="s">
        <v>431</v>
      </c>
      <c r="E119" s="31"/>
      <c r="F119" s="21"/>
      <c r="G119" s="21"/>
      <c r="H119" s="21"/>
      <c r="I119" s="21"/>
      <c r="J119" s="21"/>
      <c r="K119" s="46"/>
      <c r="L119" s="21"/>
      <c r="M119" s="21"/>
      <c r="N119" s="32"/>
      <c r="O119" s="164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77"/>
      <c r="AA119" s="219"/>
      <c r="AB119" s="208"/>
      <c r="AC119" s="208"/>
      <c r="AD119" s="208"/>
      <c r="AE119" s="208"/>
      <c r="AF119" s="208"/>
      <c r="AG119" s="208"/>
      <c r="AH119" s="208"/>
      <c r="AI119" s="208"/>
      <c r="AJ119" s="208"/>
      <c r="AK119" s="208"/>
      <c r="AL119" s="223"/>
      <c r="AM119" s="252"/>
      <c r="AN119" s="235"/>
      <c r="AO119" s="235"/>
      <c r="AP119" s="235"/>
      <c r="AQ119" s="235"/>
      <c r="AR119" s="235"/>
      <c r="AS119" s="235"/>
      <c r="AT119" s="235"/>
      <c r="AU119" s="235"/>
      <c r="AV119" s="235"/>
      <c r="AW119" s="235"/>
      <c r="AX119" s="244"/>
      <c r="AY119" s="243"/>
      <c r="AZ119" s="254"/>
      <c r="BA119" s="235"/>
      <c r="BB119" s="235"/>
      <c r="BC119" s="235"/>
      <c r="BD119" s="235"/>
      <c r="BE119" s="235"/>
      <c r="BF119" s="235"/>
      <c r="BG119" s="235"/>
      <c r="BH119" s="235"/>
      <c r="BI119" s="235"/>
      <c r="BJ119" s="254"/>
      <c r="BK119" s="243"/>
      <c r="BL119" s="235"/>
      <c r="BM119" s="235"/>
      <c r="BN119" s="235"/>
      <c r="BO119" s="235"/>
      <c r="BP119" s="235"/>
      <c r="BQ119" s="235"/>
      <c r="BR119" s="235"/>
      <c r="BS119" s="235"/>
      <c r="BT119" s="235"/>
      <c r="BU119" s="235"/>
      <c r="BV119" s="244"/>
      <c r="BW119" s="254"/>
      <c r="BX119" s="235"/>
      <c r="BY119" s="235"/>
      <c r="BZ119" s="235"/>
      <c r="CA119" s="235"/>
      <c r="CB119" s="235"/>
      <c r="CC119" s="235"/>
      <c r="CD119" s="235"/>
      <c r="CE119" s="235"/>
      <c r="CF119" s="235"/>
      <c r="CG119" s="235"/>
      <c r="CH119" s="349"/>
      <c r="CI119" s="706"/>
      <c r="CJ119" s="235"/>
      <c r="CK119" s="235"/>
      <c r="CL119" s="235"/>
      <c r="CM119" s="235"/>
      <c r="CN119" s="235"/>
      <c r="CO119" s="235"/>
      <c r="CP119" s="235"/>
      <c r="CQ119" s="235"/>
      <c r="CR119" s="235"/>
      <c r="CS119" s="235"/>
      <c r="CT119" s="235"/>
    </row>
    <row r="120" spans="1:98" x14ac:dyDescent="0.25">
      <c r="A120" s="763"/>
      <c r="B120" s="292">
        <v>115</v>
      </c>
      <c r="C120" s="293" t="s">
        <v>604</v>
      </c>
      <c r="D120" s="193" t="s">
        <v>432</v>
      </c>
      <c r="E120" s="31"/>
      <c r="F120" s="21"/>
      <c r="G120" s="21"/>
      <c r="H120" s="21"/>
      <c r="I120" s="21"/>
      <c r="J120" s="21"/>
      <c r="K120" s="46"/>
      <c r="L120" s="21"/>
      <c r="M120" s="21"/>
      <c r="N120" s="32"/>
      <c r="O120" s="164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77"/>
      <c r="AA120" s="219"/>
      <c r="AB120" s="208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23"/>
      <c r="AM120" s="252"/>
      <c r="AN120" s="235"/>
      <c r="AO120" s="235"/>
      <c r="AP120" s="235"/>
      <c r="AQ120" s="235"/>
      <c r="AR120" s="235"/>
      <c r="AS120" s="235"/>
      <c r="AT120" s="235"/>
      <c r="AU120" s="235"/>
      <c r="AV120" s="235"/>
      <c r="AW120" s="235"/>
      <c r="AX120" s="244"/>
      <c r="AY120" s="243"/>
      <c r="AZ120" s="254"/>
      <c r="BA120" s="235"/>
      <c r="BB120" s="235"/>
      <c r="BC120" s="235"/>
      <c r="BD120" s="235"/>
      <c r="BE120" s="235"/>
      <c r="BF120" s="235"/>
      <c r="BG120" s="235"/>
      <c r="BH120" s="235"/>
      <c r="BI120" s="235"/>
      <c r="BJ120" s="254"/>
      <c r="BK120" s="243"/>
      <c r="BL120" s="235"/>
      <c r="BM120" s="235"/>
      <c r="BN120" s="235"/>
      <c r="BO120" s="235"/>
      <c r="BP120" s="235"/>
      <c r="BQ120" s="235"/>
      <c r="BR120" s="235"/>
      <c r="BS120" s="235"/>
      <c r="BT120" s="235"/>
      <c r="BU120" s="235"/>
      <c r="BV120" s="244"/>
      <c r="BX120" s="254"/>
      <c r="BY120" s="235"/>
      <c r="BZ120" s="235"/>
      <c r="CA120" s="235"/>
      <c r="CB120" s="235"/>
      <c r="CC120" s="235"/>
      <c r="CD120" s="235"/>
      <c r="CE120" s="235"/>
      <c r="CF120" s="235"/>
      <c r="CG120" s="235"/>
      <c r="CH120" s="244"/>
      <c r="CI120" s="124"/>
      <c r="CJ120" s="259"/>
      <c r="CK120" s="235"/>
      <c r="CL120" s="235"/>
      <c r="CM120" s="235"/>
      <c r="CN120" s="235"/>
      <c r="CO120" s="235"/>
      <c r="CP120" s="235"/>
      <c r="CQ120" s="235"/>
      <c r="CR120" s="235"/>
      <c r="CS120" s="235"/>
      <c r="CT120" s="235"/>
    </row>
    <row r="121" spans="1:98" x14ac:dyDescent="0.25">
      <c r="A121" s="763"/>
      <c r="B121" s="292">
        <v>116</v>
      </c>
      <c r="C121" s="293" t="s">
        <v>605</v>
      </c>
      <c r="D121" s="193" t="s">
        <v>433</v>
      </c>
      <c r="E121" s="31"/>
      <c r="F121" s="21"/>
      <c r="G121" s="21"/>
      <c r="H121" s="21"/>
      <c r="I121" s="21"/>
      <c r="J121" s="21"/>
      <c r="K121" s="46"/>
      <c r="L121" s="21"/>
      <c r="M121" s="21"/>
      <c r="N121" s="32"/>
      <c r="O121" s="164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77"/>
      <c r="AA121" s="219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23"/>
      <c r="AM121" s="252"/>
      <c r="AN121" s="235"/>
      <c r="AO121" s="235"/>
      <c r="AP121" s="235"/>
      <c r="AQ121" s="235"/>
      <c r="AR121" s="235"/>
      <c r="AS121" s="235"/>
      <c r="AT121" s="235"/>
      <c r="AU121" s="235"/>
      <c r="AV121" s="235"/>
      <c r="AW121" s="235"/>
      <c r="AX121" s="244"/>
      <c r="AY121" s="243"/>
      <c r="AZ121" s="254"/>
      <c r="BA121" s="235"/>
      <c r="BB121" s="235"/>
      <c r="BC121" s="235"/>
      <c r="BD121" s="235"/>
      <c r="BE121" s="235"/>
      <c r="BF121" s="235"/>
      <c r="BG121" s="235"/>
      <c r="BH121" s="235"/>
      <c r="BI121" s="235"/>
      <c r="BJ121" s="254"/>
      <c r="BK121" s="243"/>
      <c r="BL121" s="235"/>
      <c r="BM121" s="235"/>
      <c r="BN121" s="235"/>
      <c r="BO121" s="235"/>
      <c r="BP121" s="235"/>
      <c r="BQ121" s="235"/>
      <c r="BR121" s="235"/>
      <c r="BS121" s="235"/>
      <c r="BT121" s="235"/>
      <c r="BU121" s="235"/>
      <c r="BV121" s="244"/>
      <c r="BW121" s="235"/>
      <c r="BX121" s="254"/>
      <c r="BY121" s="235"/>
      <c r="BZ121" s="235"/>
      <c r="CA121" s="235"/>
      <c r="CB121" s="235"/>
      <c r="CC121" s="235"/>
      <c r="CD121" s="235"/>
      <c r="CE121" s="235"/>
      <c r="CF121" s="235"/>
      <c r="CG121" s="235"/>
      <c r="CH121" s="244"/>
      <c r="CI121" s="351"/>
      <c r="CJ121" s="712"/>
      <c r="CK121" s="235"/>
      <c r="CL121" s="254"/>
      <c r="CM121" s="235"/>
      <c r="CN121" s="254" t="s">
        <v>1477</v>
      </c>
      <c r="CO121" s="235"/>
      <c r="CP121" s="235"/>
      <c r="CQ121" s="235"/>
      <c r="CR121" s="235"/>
      <c r="CS121" s="235"/>
      <c r="CT121" s="235"/>
    </row>
    <row r="122" spans="1:98" x14ac:dyDescent="0.25">
      <c r="A122" s="763"/>
      <c r="B122" s="292">
        <v>117</v>
      </c>
      <c r="C122" s="293" t="s">
        <v>606</v>
      </c>
      <c r="D122" s="193" t="s">
        <v>434</v>
      </c>
      <c r="E122" s="31"/>
      <c r="F122" s="21"/>
      <c r="G122" s="21"/>
      <c r="H122" s="21"/>
      <c r="I122" s="21"/>
      <c r="J122" s="21"/>
      <c r="K122" s="46"/>
      <c r="L122" s="21"/>
      <c r="M122" s="21"/>
      <c r="N122" s="32"/>
      <c r="O122" s="164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77"/>
      <c r="AA122" s="219"/>
      <c r="AB122" s="208"/>
      <c r="AC122" s="208"/>
      <c r="AD122" s="208"/>
      <c r="AE122" s="208"/>
      <c r="AF122" s="208"/>
      <c r="AG122" s="208"/>
      <c r="AH122" s="208"/>
      <c r="AI122" s="208"/>
      <c r="AJ122" s="208"/>
      <c r="AK122" s="208"/>
      <c r="AL122" s="223"/>
      <c r="AM122" s="252"/>
      <c r="AN122" s="235"/>
      <c r="AO122" s="235"/>
      <c r="AP122" s="235"/>
      <c r="AQ122" s="235"/>
      <c r="AR122" s="235"/>
      <c r="AS122" s="235"/>
      <c r="AT122" s="235"/>
      <c r="AU122" s="235"/>
      <c r="AV122" s="235"/>
      <c r="AW122" s="235"/>
      <c r="AX122" s="254"/>
      <c r="AY122" s="243"/>
      <c r="AZ122" s="235"/>
      <c r="BA122" s="254" t="s">
        <v>972</v>
      </c>
      <c r="BB122" s="235"/>
      <c r="BC122" s="235"/>
      <c r="BD122" s="235"/>
      <c r="BE122" s="235"/>
      <c r="BF122" s="235"/>
      <c r="BG122" s="235"/>
      <c r="BH122" s="235"/>
      <c r="BI122" s="235"/>
      <c r="BK122" s="243"/>
      <c r="BL122" s="254"/>
      <c r="BM122" s="235"/>
      <c r="BN122" s="235"/>
      <c r="BO122" s="235"/>
      <c r="BP122" s="235"/>
      <c r="BQ122" s="235"/>
      <c r="BR122" s="235"/>
      <c r="BS122" s="235"/>
      <c r="BT122" s="235"/>
      <c r="BU122" s="235"/>
      <c r="BV122" s="244"/>
      <c r="BW122" s="235"/>
      <c r="BX122" s="235"/>
      <c r="BY122" s="254"/>
      <c r="BZ122" s="235"/>
      <c r="CA122" s="235"/>
      <c r="CB122" s="254"/>
      <c r="CC122" s="235"/>
      <c r="CD122" s="235"/>
      <c r="CE122" s="235"/>
      <c r="CF122" s="235"/>
      <c r="CG122" s="235"/>
      <c r="CH122" s="244"/>
      <c r="CI122" s="351"/>
      <c r="CJ122" s="254" t="s">
        <v>713</v>
      </c>
      <c r="CK122" s="259"/>
      <c r="CL122" s="235"/>
      <c r="CM122" s="235"/>
      <c r="CN122" s="254"/>
      <c r="CO122" s="235"/>
      <c r="CP122" s="235"/>
      <c r="CQ122" s="235"/>
      <c r="CR122" s="235"/>
      <c r="CS122" s="235"/>
      <c r="CT122" s="235"/>
    </row>
    <row r="123" spans="1:98" x14ac:dyDescent="0.25">
      <c r="A123" s="763"/>
      <c r="B123" s="292">
        <v>118</v>
      </c>
      <c r="C123" s="293" t="s">
        <v>607</v>
      </c>
      <c r="D123" s="193" t="s">
        <v>435</v>
      </c>
      <c r="E123" s="31"/>
      <c r="F123" s="21"/>
      <c r="G123" s="21"/>
      <c r="H123" s="21"/>
      <c r="I123" s="21"/>
      <c r="J123" s="21"/>
      <c r="K123" s="46"/>
      <c r="L123" s="21"/>
      <c r="M123" s="21"/>
      <c r="N123" s="32"/>
      <c r="O123" s="164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77"/>
      <c r="AA123" s="219"/>
      <c r="AB123" s="208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23"/>
      <c r="AM123" s="252"/>
      <c r="AN123" s="235"/>
      <c r="AO123" s="246"/>
      <c r="AP123" s="235"/>
      <c r="AQ123" s="235"/>
      <c r="AR123" s="235"/>
      <c r="AS123" s="235"/>
      <c r="AT123" s="235"/>
      <c r="AU123" s="235"/>
      <c r="AV123" s="235"/>
      <c r="AW123" s="235"/>
      <c r="AX123" s="244"/>
      <c r="AY123" s="254"/>
      <c r="BA123" s="235"/>
      <c r="BB123" s="235"/>
      <c r="BC123" s="235"/>
      <c r="BD123" s="235"/>
      <c r="BE123" s="235"/>
      <c r="BF123" s="235"/>
      <c r="BG123" s="235"/>
      <c r="BH123" s="235"/>
      <c r="BI123" s="235"/>
      <c r="BJ123" s="244"/>
      <c r="BK123" s="243"/>
      <c r="BL123" s="254"/>
      <c r="BM123" s="235"/>
      <c r="BN123" s="235"/>
      <c r="BO123" s="235"/>
      <c r="BP123" s="235"/>
      <c r="BQ123" s="235"/>
      <c r="BR123" s="235"/>
      <c r="BS123" s="235"/>
      <c r="BT123" s="235"/>
      <c r="BU123" s="235"/>
      <c r="BV123" s="244"/>
      <c r="BW123" s="235"/>
      <c r="BY123" s="254"/>
      <c r="BZ123" s="235"/>
      <c r="CA123" s="235"/>
      <c r="CB123" s="254"/>
      <c r="CC123" s="235"/>
      <c r="CD123" s="235"/>
      <c r="CE123" s="235"/>
      <c r="CF123" s="235"/>
      <c r="CG123" s="235"/>
      <c r="CH123" s="244"/>
      <c r="CI123" s="351"/>
      <c r="CJ123" s="254" t="s">
        <v>713</v>
      </c>
      <c r="CK123" s="259"/>
      <c r="CL123" s="235"/>
      <c r="CM123" s="235"/>
      <c r="CN123" s="254" t="s">
        <v>1294</v>
      </c>
      <c r="CO123" s="235"/>
      <c r="CP123" s="235"/>
      <c r="CQ123" s="235"/>
      <c r="CR123" s="235"/>
      <c r="CS123" s="235"/>
      <c r="CT123" s="235"/>
    </row>
    <row r="124" spans="1:98" x14ac:dyDescent="0.25">
      <c r="A124" s="763"/>
      <c r="B124" s="292">
        <v>119</v>
      </c>
      <c r="C124" s="293" t="s">
        <v>608</v>
      </c>
      <c r="D124" s="194" t="s">
        <v>436</v>
      </c>
      <c r="E124" s="53"/>
      <c r="F124" s="22"/>
      <c r="G124" s="22"/>
      <c r="H124" s="22"/>
      <c r="I124" s="22"/>
      <c r="J124" s="22"/>
      <c r="K124" s="22"/>
      <c r="L124" s="22"/>
      <c r="M124" s="22"/>
      <c r="N124" s="54"/>
      <c r="O124" s="164"/>
      <c r="P124" s="165"/>
      <c r="Q124" s="165"/>
      <c r="R124" s="165"/>
      <c r="S124" s="165"/>
      <c r="T124" s="165"/>
      <c r="U124" s="165"/>
      <c r="V124" s="79"/>
      <c r="W124" s="165"/>
      <c r="X124" s="165"/>
      <c r="Y124" s="165"/>
      <c r="Z124" s="167"/>
      <c r="AA124" s="219"/>
      <c r="AB124" s="208"/>
      <c r="AC124" s="208"/>
      <c r="AD124" s="208"/>
      <c r="AE124" s="208"/>
      <c r="AF124" s="208"/>
      <c r="AG124" s="208"/>
      <c r="AH124" s="208"/>
      <c r="AI124" s="220"/>
      <c r="AJ124" s="41"/>
      <c r="AK124" s="208"/>
      <c r="AL124" s="223"/>
      <c r="AM124" s="243"/>
      <c r="AN124" s="235"/>
      <c r="AO124" s="254"/>
      <c r="AP124" s="235"/>
      <c r="AQ124" s="235"/>
      <c r="AR124" s="235"/>
      <c r="AS124" s="350"/>
      <c r="AT124" s="235"/>
      <c r="AU124" s="351"/>
      <c r="AV124" s="235"/>
      <c r="AW124" s="235"/>
      <c r="AX124" s="244"/>
      <c r="AY124" s="243"/>
      <c r="AZ124" s="235"/>
      <c r="BA124" s="235"/>
      <c r="BB124" s="235"/>
      <c r="BC124" s="235"/>
      <c r="BD124" s="235"/>
      <c r="BF124" s="235"/>
      <c r="BG124" s="254" t="s">
        <v>991</v>
      </c>
      <c r="BH124" s="235"/>
      <c r="BI124" s="235"/>
      <c r="BJ124" s="244"/>
      <c r="BK124" s="243"/>
      <c r="BL124" s="235"/>
      <c r="BM124" s="235"/>
      <c r="BN124" s="235"/>
      <c r="BO124" s="235"/>
      <c r="BP124" s="235"/>
      <c r="BQ124" s="235"/>
      <c r="BR124" s="235"/>
      <c r="BS124" s="235"/>
      <c r="BT124" s="235"/>
      <c r="BV124" s="235"/>
      <c r="BX124" s="235"/>
      <c r="BY124" s="254"/>
      <c r="BZ124" s="235"/>
      <c r="CA124" s="235"/>
      <c r="CB124" s="235"/>
      <c r="CC124" s="235"/>
      <c r="CD124" s="235"/>
      <c r="CE124" s="235"/>
      <c r="CF124" s="235"/>
      <c r="CG124" s="235"/>
      <c r="CH124" s="244"/>
      <c r="CJ124" s="235"/>
      <c r="CK124" s="233"/>
      <c r="CL124" s="235"/>
      <c r="CM124" s="235"/>
      <c r="CN124" s="235"/>
      <c r="CO124" s="235"/>
      <c r="CP124" s="235"/>
      <c r="CQ124" s="235"/>
      <c r="CR124" s="235"/>
      <c r="CS124" s="235"/>
      <c r="CT124" s="235"/>
    </row>
    <row r="125" spans="1:98" x14ac:dyDescent="0.25">
      <c r="A125" s="763"/>
      <c r="B125" s="292">
        <v>120</v>
      </c>
      <c r="C125" s="293" t="s">
        <v>609</v>
      </c>
      <c r="D125" s="194" t="s">
        <v>153</v>
      </c>
      <c r="E125" s="53"/>
      <c r="F125" s="22"/>
      <c r="G125" s="22"/>
      <c r="H125" s="22"/>
      <c r="I125" s="22"/>
      <c r="J125" s="22"/>
      <c r="K125" s="22"/>
      <c r="L125" s="22"/>
      <c r="M125" s="22"/>
      <c r="N125" s="54"/>
      <c r="O125" s="16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7"/>
      <c r="AA125" s="219"/>
      <c r="AB125" s="208"/>
      <c r="AC125" s="254" t="s">
        <v>690</v>
      </c>
      <c r="AD125" s="208"/>
      <c r="AE125" s="208"/>
      <c r="AF125" s="208"/>
      <c r="AG125" s="208"/>
      <c r="AH125" s="208"/>
      <c r="AI125" s="208"/>
      <c r="AJ125" s="208"/>
      <c r="AK125" s="208"/>
      <c r="AL125" s="223"/>
      <c r="AM125" s="243"/>
      <c r="AN125" s="235"/>
      <c r="AO125" s="254" t="s">
        <v>690</v>
      </c>
      <c r="AP125" s="235"/>
      <c r="AQ125" s="235"/>
      <c r="AR125" s="235"/>
      <c r="AS125" s="235"/>
      <c r="AT125" s="235"/>
      <c r="AU125" s="235"/>
      <c r="AV125" s="235"/>
      <c r="AW125" s="235"/>
      <c r="AX125" s="244"/>
      <c r="AY125" s="243"/>
      <c r="AZ125" s="254"/>
      <c r="BA125" s="235" t="s">
        <v>690</v>
      </c>
      <c r="BB125" s="235"/>
      <c r="BC125" s="235"/>
      <c r="BD125" s="235"/>
      <c r="BE125" s="235"/>
      <c r="BF125" s="235"/>
      <c r="BG125" s="235"/>
      <c r="BH125" s="235"/>
      <c r="BI125" s="235"/>
      <c r="BJ125" s="244"/>
      <c r="BK125" s="243"/>
      <c r="BL125" s="254" t="s">
        <v>1040</v>
      </c>
      <c r="BN125" s="235"/>
      <c r="BO125" s="235"/>
      <c r="BP125" s="235"/>
      <c r="BQ125" s="235"/>
      <c r="BR125" s="235"/>
      <c r="BS125" s="235"/>
      <c r="BT125" s="235"/>
      <c r="BU125" s="235"/>
      <c r="BV125" s="244"/>
      <c r="BW125" s="235"/>
      <c r="BX125" s="235"/>
      <c r="BY125" s="235"/>
      <c r="BZ125" s="235"/>
      <c r="CA125" s="235"/>
      <c r="CB125" s="235"/>
      <c r="CC125" s="235"/>
      <c r="CD125" s="235"/>
      <c r="CE125" s="235"/>
      <c r="CF125" s="235"/>
      <c r="CG125" s="235"/>
      <c r="CH125" s="244"/>
      <c r="CI125" s="351"/>
      <c r="CJ125" s="235"/>
      <c r="CK125" s="235"/>
      <c r="CL125" s="235"/>
      <c r="CM125" s="235"/>
      <c r="CN125" s="235"/>
      <c r="CO125" s="235"/>
      <c r="CP125" s="235"/>
      <c r="CQ125" s="235"/>
      <c r="CR125" s="235"/>
      <c r="CS125" s="235"/>
      <c r="CT125" s="235"/>
    </row>
    <row r="126" spans="1:98" x14ac:dyDescent="0.25">
      <c r="A126" s="763"/>
      <c r="B126" s="292">
        <v>121</v>
      </c>
      <c r="C126" s="293" t="s">
        <v>610</v>
      </c>
      <c r="D126" s="194" t="s">
        <v>437</v>
      </c>
      <c r="E126" s="31"/>
      <c r="F126" s="21"/>
      <c r="G126" s="21"/>
      <c r="H126" s="21"/>
      <c r="I126" s="21"/>
      <c r="J126" s="21"/>
      <c r="K126" s="21"/>
      <c r="L126" s="21"/>
      <c r="M126" s="21"/>
      <c r="N126" s="183"/>
      <c r="O126" s="164"/>
      <c r="P126" s="165"/>
      <c r="Q126" s="165"/>
      <c r="R126" s="165"/>
      <c r="S126" s="41"/>
      <c r="T126" s="165"/>
      <c r="U126" s="165"/>
      <c r="V126" s="165"/>
      <c r="W126" s="165"/>
      <c r="X126" s="165"/>
      <c r="Y126" s="165"/>
      <c r="Z126" s="167"/>
      <c r="AA126" s="219"/>
      <c r="AB126" s="220"/>
      <c r="AC126" s="41"/>
      <c r="AD126" s="208"/>
      <c r="AE126" s="208"/>
      <c r="AF126" s="208"/>
      <c r="AG126" s="220"/>
      <c r="AH126" s="208"/>
      <c r="AI126" s="208"/>
      <c r="AJ126" s="208"/>
      <c r="AK126" s="208"/>
      <c r="AL126" s="223"/>
      <c r="AM126" s="243"/>
      <c r="AN126" s="246"/>
      <c r="AO126" s="254"/>
      <c r="AP126" s="235"/>
      <c r="AQ126" s="235"/>
      <c r="AR126" s="235"/>
      <c r="AS126" s="235"/>
      <c r="AT126" s="235"/>
      <c r="AU126" s="235"/>
      <c r="AV126" s="235"/>
      <c r="AW126" s="235"/>
      <c r="AX126" s="244"/>
      <c r="AY126" s="243"/>
      <c r="AZ126" s="246"/>
      <c r="BA126" s="254" t="s">
        <v>906</v>
      </c>
      <c r="BB126" s="235"/>
      <c r="BC126" s="235"/>
      <c r="BD126" s="235"/>
      <c r="BE126" s="235"/>
      <c r="BF126" s="235"/>
      <c r="BG126" s="235"/>
      <c r="BH126" s="235"/>
      <c r="BI126" s="235"/>
      <c r="BJ126" s="244"/>
      <c r="BK126" s="252"/>
      <c r="BL126" s="246"/>
      <c r="BM126" s="235"/>
      <c r="BN126" s="235"/>
      <c r="BO126" s="235"/>
      <c r="BP126" s="235"/>
      <c r="BQ126" s="235"/>
      <c r="BR126" s="235"/>
      <c r="BS126" s="235"/>
      <c r="BT126" s="235"/>
      <c r="BU126" s="235"/>
      <c r="BV126" s="349"/>
      <c r="BW126" s="235"/>
      <c r="BX126" s="235"/>
      <c r="BY126" s="235"/>
      <c r="BZ126" s="235"/>
      <c r="CA126" s="235"/>
      <c r="CB126" s="235"/>
      <c r="CC126" s="235"/>
      <c r="CD126" s="235"/>
      <c r="CE126" s="235"/>
      <c r="CF126" s="235"/>
      <c r="CG126" s="235"/>
      <c r="CH126" s="349"/>
      <c r="CI126" s="351"/>
      <c r="CJ126" s="235"/>
      <c r="CK126" s="254" t="s">
        <v>1474</v>
      </c>
      <c r="CL126" s="235"/>
      <c r="CM126" s="235"/>
      <c r="CN126" s="235"/>
      <c r="CO126" s="235"/>
      <c r="CP126" s="235"/>
      <c r="CQ126" s="235"/>
      <c r="CR126" s="235"/>
      <c r="CS126" s="235"/>
      <c r="CT126" s="233"/>
    </row>
    <row r="127" spans="1:98" x14ac:dyDescent="0.25">
      <c r="A127" s="763"/>
      <c r="B127" s="292">
        <v>122</v>
      </c>
      <c r="C127" s="293" t="s">
        <v>611</v>
      </c>
      <c r="D127" s="194" t="s">
        <v>439</v>
      </c>
      <c r="E127" s="31"/>
      <c r="F127" s="21"/>
      <c r="G127" s="21"/>
      <c r="H127" s="21"/>
      <c r="I127" s="21"/>
      <c r="J127" s="21"/>
      <c r="K127" s="21"/>
      <c r="L127" s="46"/>
      <c r="M127" s="21"/>
      <c r="N127" s="32"/>
      <c r="O127" s="164"/>
      <c r="P127" s="165"/>
      <c r="Q127" s="165"/>
      <c r="R127" s="165"/>
      <c r="S127" s="165"/>
      <c r="T127" s="41"/>
      <c r="U127" s="165"/>
      <c r="V127" s="165"/>
      <c r="W127" s="165"/>
      <c r="X127" s="176"/>
      <c r="Y127" s="41"/>
      <c r="Z127" s="167"/>
      <c r="AA127" s="219"/>
      <c r="AB127" s="208"/>
      <c r="AC127" s="208"/>
      <c r="AD127" s="208"/>
      <c r="AE127" s="208"/>
      <c r="AF127" s="208"/>
      <c r="AG127" s="208"/>
      <c r="AH127" s="208"/>
      <c r="AI127" s="208"/>
      <c r="AJ127" s="208"/>
      <c r="AK127" s="208"/>
      <c r="AL127" s="223"/>
      <c r="AM127" s="243"/>
      <c r="AN127" s="41"/>
      <c r="AO127" s="235"/>
      <c r="AP127" s="235"/>
      <c r="AQ127" s="235"/>
      <c r="AR127" s="235"/>
      <c r="AS127" s="235"/>
      <c r="AT127" s="235"/>
      <c r="AU127" s="235"/>
      <c r="AV127" s="235"/>
      <c r="AW127" s="235"/>
      <c r="AX127" s="244"/>
      <c r="AY127" s="243"/>
      <c r="AZ127" s="41"/>
      <c r="BA127" s="235"/>
      <c r="BB127" s="235"/>
      <c r="BC127" s="235"/>
      <c r="BD127" s="235"/>
      <c r="BE127" s="235"/>
      <c r="BF127" s="235"/>
      <c r="BG127" s="235"/>
      <c r="BH127" s="254"/>
      <c r="BI127" s="235"/>
      <c r="BJ127" s="244"/>
      <c r="BK127" s="243"/>
      <c r="BL127" s="346"/>
      <c r="BM127" s="235"/>
      <c r="BN127" s="235"/>
      <c r="BO127" s="235"/>
      <c r="BP127" s="235"/>
      <c r="BQ127" s="235"/>
      <c r="BR127" s="235"/>
      <c r="BS127" s="235"/>
      <c r="BT127" s="235"/>
      <c r="BU127" s="254"/>
      <c r="BV127" s="244"/>
      <c r="BW127" s="235"/>
      <c r="BX127" s="235"/>
      <c r="BY127" s="235"/>
      <c r="BZ127" s="235"/>
      <c r="CA127" s="235"/>
      <c r="CB127" s="235"/>
      <c r="CC127" s="235"/>
      <c r="CD127" s="235"/>
      <c r="CE127" s="235"/>
      <c r="CF127" s="235"/>
      <c r="CG127" s="254"/>
      <c r="CH127" s="244"/>
      <c r="CI127" s="351"/>
      <c r="CJ127" s="235"/>
      <c r="CK127" s="235"/>
      <c r="CL127" s="235"/>
      <c r="CM127" s="235"/>
      <c r="CN127" s="235"/>
      <c r="CO127" s="235"/>
      <c r="CP127" s="235"/>
      <c r="CQ127" s="235"/>
      <c r="CR127" s="235"/>
      <c r="CS127" s="233"/>
      <c r="CT127" s="235"/>
    </row>
    <row r="128" spans="1:98" x14ac:dyDescent="0.25">
      <c r="A128" s="763"/>
      <c r="B128" s="292">
        <v>123</v>
      </c>
      <c r="C128" s="293" t="s">
        <v>612</v>
      </c>
      <c r="D128" s="194" t="s">
        <v>440</v>
      </c>
      <c r="E128" s="31"/>
      <c r="F128" s="21"/>
      <c r="G128" s="21"/>
      <c r="H128" s="21"/>
      <c r="I128" s="21"/>
      <c r="J128" s="21"/>
      <c r="K128" s="21"/>
      <c r="L128" s="46"/>
      <c r="M128" s="21"/>
      <c r="N128" s="32"/>
      <c r="O128" s="164"/>
      <c r="P128" s="165"/>
      <c r="Q128" s="165"/>
      <c r="R128" s="165"/>
      <c r="S128" s="165"/>
      <c r="T128" s="41"/>
      <c r="U128" s="165"/>
      <c r="V128" s="165"/>
      <c r="W128" s="165"/>
      <c r="X128" s="165"/>
      <c r="Y128" s="41"/>
      <c r="Z128" s="179"/>
      <c r="AA128" s="219"/>
      <c r="AB128" s="208"/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23"/>
      <c r="AM128" s="243"/>
      <c r="AN128" s="41"/>
      <c r="AO128" s="235"/>
      <c r="AP128" s="235"/>
      <c r="AQ128" s="235"/>
      <c r="AR128" s="235"/>
      <c r="AS128" s="235"/>
      <c r="AT128" s="235"/>
      <c r="AU128" s="235"/>
      <c r="AV128" s="235"/>
      <c r="AW128" s="235"/>
      <c r="AX128" s="244"/>
      <c r="AY128" s="243"/>
      <c r="AZ128" s="41"/>
      <c r="BA128" s="235"/>
      <c r="BB128" s="235"/>
      <c r="BC128" s="235"/>
      <c r="BD128" s="235"/>
      <c r="BE128" s="235"/>
      <c r="BF128" s="235"/>
      <c r="BG128" s="235"/>
      <c r="BH128" s="254"/>
      <c r="BI128" s="235"/>
      <c r="BJ128" s="244"/>
      <c r="BK128" s="243"/>
      <c r="BL128" s="346"/>
      <c r="BM128" s="235"/>
      <c r="BN128" s="235"/>
      <c r="BO128" s="235"/>
      <c r="BP128" s="235"/>
      <c r="BQ128" s="235"/>
      <c r="BR128" s="235"/>
      <c r="BS128" s="235"/>
      <c r="BT128" s="235"/>
      <c r="BU128" s="254"/>
      <c r="BV128" s="244"/>
      <c r="BW128" s="235"/>
      <c r="BX128" s="235"/>
      <c r="BY128" s="235"/>
      <c r="BZ128" s="235"/>
      <c r="CA128" s="235"/>
      <c r="CB128" s="235"/>
      <c r="CC128" s="235"/>
      <c r="CD128" s="235"/>
      <c r="CE128" s="235"/>
      <c r="CF128" s="235"/>
      <c r="CG128" s="254"/>
      <c r="CH128" s="244"/>
      <c r="CI128" s="351"/>
      <c r="CJ128" s="235"/>
      <c r="CK128" s="235"/>
      <c r="CL128" s="235"/>
      <c r="CM128" s="235"/>
      <c r="CN128" s="235"/>
      <c r="CO128" s="235"/>
      <c r="CP128" s="235"/>
      <c r="CQ128" s="235"/>
      <c r="CR128" s="235"/>
      <c r="CS128" s="233"/>
      <c r="CT128" s="235"/>
    </row>
    <row r="129" spans="1:98" x14ac:dyDescent="0.25">
      <c r="A129" s="763"/>
      <c r="B129" s="292">
        <v>124</v>
      </c>
      <c r="C129" s="293" t="s">
        <v>613</v>
      </c>
      <c r="D129" s="194" t="s">
        <v>441</v>
      </c>
      <c r="E129" s="31"/>
      <c r="F129" s="21"/>
      <c r="G129" s="21"/>
      <c r="H129" s="21"/>
      <c r="I129" s="21"/>
      <c r="J129" s="21"/>
      <c r="K129" s="21"/>
      <c r="L129" s="46"/>
      <c r="M129" s="21"/>
      <c r="N129" s="32"/>
      <c r="O129" s="164"/>
      <c r="P129" s="165"/>
      <c r="Q129" s="165"/>
      <c r="R129" s="165"/>
      <c r="S129" s="165"/>
      <c r="T129" s="41"/>
      <c r="U129" s="165"/>
      <c r="V129" s="165"/>
      <c r="W129" s="165"/>
      <c r="X129" s="165"/>
      <c r="Y129" s="41"/>
      <c r="Z129" s="167"/>
      <c r="AA129" s="219"/>
      <c r="AB129" s="208"/>
      <c r="AC129" s="208"/>
      <c r="AD129" s="208"/>
      <c r="AE129" s="208"/>
      <c r="AF129" s="208"/>
      <c r="AG129" s="208"/>
      <c r="AH129" s="208"/>
      <c r="AI129" s="208"/>
      <c r="AJ129" s="208"/>
      <c r="AK129" s="208"/>
      <c r="AL129" s="223"/>
      <c r="AM129" s="243"/>
      <c r="AN129" s="41"/>
      <c r="AO129" s="235"/>
      <c r="AP129" s="235"/>
      <c r="AQ129" s="235"/>
      <c r="AR129" s="235"/>
      <c r="AS129" s="235"/>
      <c r="AT129" s="235"/>
      <c r="AU129" s="235"/>
      <c r="AV129" s="235"/>
      <c r="AW129" s="235"/>
      <c r="AX129" s="244"/>
      <c r="AY129" s="243"/>
      <c r="AZ129" s="41"/>
      <c r="BA129" s="235"/>
      <c r="BB129" s="235"/>
      <c r="BC129" s="235"/>
      <c r="BD129" s="235"/>
      <c r="BE129" s="235"/>
      <c r="BF129" s="235"/>
      <c r="BG129" s="235"/>
      <c r="BH129" s="254"/>
      <c r="BI129" s="235"/>
      <c r="BJ129" s="244"/>
      <c r="BK129" s="243"/>
      <c r="BL129" s="346"/>
      <c r="BM129" s="235"/>
      <c r="BN129" s="235"/>
      <c r="BO129" s="235"/>
      <c r="BP129" s="235"/>
      <c r="BQ129" s="235"/>
      <c r="BR129" s="235"/>
      <c r="BS129" s="235"/>
      <c r="BT129" s="235"/>
      <c r="BU129" s="254"/>
      <c r="BV129" s="244"/>
      <c r="BW129" s="235"/>
      <c r="BX129" s="235"/>
      <c r="BY129" s="235"/>
      <c r="BZ129" s="235"/>
      <c r="CA129" s="235"/>
      <c r="CB129" s="235"/>
      <c r="CC129" s="235"/>
      <c r="CD129" s="235"/>
      <c r="CE129" s="235"/>
      <c r="CF129" s="235"/>
      <c r="CG129" s="254"/>
      <c r="CH129" s="244"/>
      <c r="CI129" s="351"/>
      <c r="CJ129" s="235"/>
      <c r="CK129" s="235"/>
      <c r="CL129" s="235"/>
      <c r="CM129" s="235"/>
      <c r="CN129" s="235"/>
      <c r="CO129" s="235"/>
      <c r="CP129" s="235"/>
      <c r="CQ129" s="235"/>
      <c r="CR129" s="235"/>
      <c r="CS129" s="233"/>
      <c r="CT129" s="235"/>
    </row>
    <row r="130" spans="1:98" x14ac:dyDescent="0.25">
      <c r="A130" s="763"/>
      <c r="B130" s="292">
        <v>125</v>
      </c>
      <c r="C130" s="293" t="s">
        <v>614</v>
      </c>
      <c r="D130" s="194" t="s">
        <v>442</v>
      </c>
      <c r="E130" s="31"/>
      <c r="F130" s="21"/>
      <c r="G130" s="21"/>
      <c r="H130" s="21"/>
      <c r="I130" s="21"/>
      <c r="J130" s="21"/>
      <c r="K130" s="21"/>
      <c r="L130" s="46"/>
      <c r="M130" s="21"/>
      <c r="N130" s="32"/>
      <c r="O130" s="164"/>
      <c r="P130" s="165"/>
      <c r="Q130" s="165"/>
      <c r="R130" s="165"/>
      <c r="S130" s="165"/>
      <c r="T130" s="41"/>
      <c r="U130" s="165"/>
      <c r="V130" s="165"/>
      <c r="W130" s="165"/>
      <c r="X130" s="165"/>
      <c r="Y130" s="41"/>
      <c r="Z130" s="167"/>
      <c r="AA130" s="219"/>
      <c r="AB130" s="208"/>
      <c r="AC130" s="208"/>
      <c r="AD130" s="208"/>
      <c r="AE130" s="208"/>
      <c r="AF130" s="208"/>
      <c r="AG130" s="208"/>
      <c r="AH130" s="208"/>
      <c r="AI130" s="208"/>
      <c r="AJ130" s="208"/>
      <c r="AK130" s="208"/>
      <c r="AL130" s="223"/>
      <c r="AM130" s="243"/>
      <c r="AN130" s="41"/>
      <c r="AO130" s="235"/>
      <c r="AP130" s="235"/>
      <c r="AQ130" s="235"/>
      <c r="AR130" s="235"/>
      <c r="AS130" s="235"/>
      <c r="AT130" s="235"/>
      <c r="AU130" s="235"/>
      <c r="AV130" s="235"/>
      <c r="AW130" s="235"/>
      <c r="AX130" s="244"/>
      <c r="AY130" s="243"/>
      <c r="AZ130" s="41"/>
      <c r="BA130" s="235"/>
      <c r="BB130" s="235"/>
      <c r="BC130" s="235"/>
      <c r="BD130" s="235"/>
      <c r="BE130" s="235"/>
      <c r="BF130" s="235"/>
      <c r="BG130" s="235"/>
      <c r="BH130" s="254"/>
      <c r="BI130" s="235"/>
      <c r="BJ130" s="244"/>
      <c r="BK130" s="243"/>
      <c r="BL130" s="346"/>
      <c r="BM130" s="235"/>
      <c r="BN130" s="235"/>
      <c r="BO130" s="235"/>
      <c r="BP130" s="235"/>
      <c r="BQ130" s="235"/>
      <c r="BR130" s="235"/>
      <c r="BS130" s="235"/>
      <c r="BT130" s="235"/>
      <c r="BU130" s="254"/>
      <c r="BV130" s="244"/>
      <c r="BW130" s="235"/>
      <c r="BX130" s="235"/>
      <c r="BY130" s="235"/>
      <c r="BZ130" s="235"/>
      <c r="CA130" s="235"/>
      <c r="CB130" s="235"/>
      <c r="CC130" s="235"/>
      <c r="CD130" s="235"/>
      <c r="CE130" s="235"/>
      <c r="CF130" s="235"/>
      <c r="CG130" s="254"/>
      <c r="CH130" s="244"/>
      <c r="CI130" s="351"/>
      <c r="CJ130" s="235"/>
      <c r="CK130" s="235"/>
      <c r="CL130" s="235"/>
      <c r="CM130" s="235"/>
      <c r="CN130" s="235"/>
      <c r="CO130" s="235"/>
      <c r="CP130" s="235"/>
      <c r="CQ130" s="235"/>
      <c r="CR130" s="235"/>
      <c r="CS130" s="233"/>
      <c r="CT130" s="235"/>
    </row>
    <row r="131" spans="1:98" x14ac:dyDescent="0.25">
      <c r="A131" s="763"/>
      <c r="B131" s="292">
        <v>126</v>
      </c>
      <c r="C131" s="293" t="s">
        <v>615</v>
      </c>
      <c r="D131" s="194" t="s">
        <v>443</v>
      </c>
      <c r="E131" s="53"/>
      <c r="F131" s="22"/>
      <c r="G131" s="22"/>
      <c r="H131" s="22"/>
      <c r="I131" s="22"/>
      <c r="J131" s="22"/>
      <c r="K131" s="22"/>
      <c r="L131" s="72"/>
      <c r="M131" s="22"/>
      <c r="N131" s="54"/>
      <c r="O131" s="164"/>
      <c r="P131" s="165"/>
      <c r="Q131" s="165"/>
      <c r="R131" s="41"/>
      <c r="S131" s="165"/>
      <c r="T131" s="165"/>
      <c r="U131" s="165"/>
      <c r="V131" s="165"/>
      <c r="W131" s="165"/>
      <c r="X131" s="165"/>
      <c r="Y131" s="165"/>
      <c r="Z131" s="167"/>
      <c r="AA131" s="219"/>
      <c r="AB131" s="208"/>
      <c r="AC131" s="208"/>
      <c r="AD131" s="208"/>
      <c r="AE131" s="208"/>
      <c r="AF131" s="208"/>
      <c r="AG131" s="208"/>
      <c r="AH131" s="208"/>
      <c r="AI131" s="208"/>
      <c r="AJ131" s="208"/>
      <c r="AK131" s="208"/>
      <c r="AL131" s="223"/>
      <c r="AM131" s="243"/>
      <c r="AN131" s="41"/>
      <c r="AO131" s="235"/>
      <c r="AP131" s="235"/>
      <c r="AQ131" s="235"/>
      <c r="AR131" s="235"/>
      <c r="AS131" s="235"/>
      <c r="AT131" s="235"/>
      <c r="AU131" s="235"/>
      <c r="AV131" s="235"/>
      <c r="AW131" s="235"/>
      <c r="AX131" s="244"/>
      <c r="AY131" s="243"/>
      <c r="AZ131" s="41"/>
      <c r="BA131" s="235"/>
      <c r="BB131" s="235"/>
      <c r="BC131" s="235"/>
      <c r="BD131" s="235"/>
      <c r="BE131" s="235"/>
      <c r="BF131" s="235"/>
      <c r="BG131" s="235"/>
      <c r="BH131" s="254"/>
      <c r="BI131" s="235"/>
      <c r="BJ131" s="244"/>
      <c r="BK131" s="243"/>
      <c r="BL131" s="346"/>
      <c r="BM131" s="235"/>
      <c r="BN131" s="235"/>
      <c r="BO131" s="235"/>
      <c r="BP131" s="235"/>
      <c r="BQ131" s="235"/>
      <c r="BR131" s="235"/>
      <c r="BS131" s="235"/>
      <c r="BT131" s="235"/>
      <c r="BU131" s="254"/>
      <c r="BV131" s="244"/>
      <c r="BW131" s="235"/>
      <c r="BX131" s="235"/>
      <c r="BY131" s="235"/>
      <c r="BZ131" s="235"/>
      <c r="CA131" s="235"/>
      <c r="CB131" s="235"/>
      <c r="CC131" s="235"/>
      <c r="CD131" s="235"/>
      <c r="CE131" s="235"/>
      <c r="CF131" s="235"/>
      <c r="CG131" s="254"/>
      <c r="CH131" s="244"/>
      <c r="CI131" s="351"/>
      <c r="CJ131" s="235"/>
      <c r="CK131" s="235"/>
      <c r="CL131" s="235"/>
      <c r="CM131" s="235"/>
      <c r="CN131" s="235"/>
      <c r="CO131" s="235"/>
      <c r="CP131" s="235"/>
      <c r="CQ131" s="235"/>
      <c r="CR131" s="235"/>
      <c r="CS131" s="233"/>
      <c r="CT131" s="235"/>
    </row>
    <row r="132" spans="1:98" x14ac:dyDescent="0.25">
      <c r="A132" s="763"/>
      <c r="B132" s="292">
        <v>127</v>
      </c>
      <c r="C132" s="293" t="s">
        <v>616</v>
      </c>
      <c r="D132" s="194" t="s">
        <v>444</v>
      </c>
      <c r="E132" s="53"/>
      <c r="F132" s="22"/>
      <c r="G132" s="22"/>
      <c r="H132" s="22"/>
      <c r="I132" s="22"/>
      <c r="J132" s="22"/>
      <c r="K132" s="22"/>
      <c r="L132" s="72"/>
      <c r="M132" s="22"/>
      <c r="N132" s="54"/>
      <c r="O132" s="164"/>
      <c r="P132" s="165"/>
      <c r="Q132" s="165"/>
      <c r="R132" s="79"/>
      <c r="S132" s="165"/>
      <c r="T132" s="165"/>
      <c r="U132" s="165"/>
      <c r="V132" s="165"/>
      <c r="W132" s="165"/>
      <c r="X132" s="165"/>
      <c r="Y132" s="165"/>
      <c r="Z132" s="167"/>
      <c r="AA132" s="219"/>
      <c r="AB132" s="208"/>
      <c r="AC132" s="208"/>
      <c r="AD132" s="208"/>
      <c r="AE132" s="208"/>
      <c r="AF132" s="208"/>
      <c r="AG132" s="208"/>
      <c r="AH132" s="208"/>
      <c r="AI132" s="208"/>
      <c r="AJ132" s="208"/>
      <c r="AK132" s="208"/>
      <c r="AL132" s="223"/>
      <c r="AM132" s="243"/>
      <c r="AN132" s="41"/>
      <c r="AO132" s="235"/>
      <c r="AP132" s="235"/>
      <c r="AQ132" s="235"/>
      <c r="AR132" s="235"/>
      <c r="AS132" s="235"/>
      <c r="AT132" s="235"/>
      <c r="AU132" s="235"/>
      <c r="AV132" s="352"/>
      <c r="AW132" s="235"/>
      <c r="AX132" s="244"/>
      <c r="AY132" s="243"/>
      <c r="AZ132" s="41"/>
      <c r="BA132" s="235"/>
      <c r="BB132" s="235"/>
      <c r="BC132" s="235"/>
      <c r="BD132" s="235"/>
      <c r="BE132" s="235"/>
      <c r="BF132" s="235"/>
      <c r="BG132" s="235"/>
      <c r="BH132" s="254"/>
      <c r="BI132" s="235"/>
      <c r="BJ132" s="244"/>
      <c r="BK132" s="243"/>
      <c r="BL132" s="346"/>
      <c r="BM132" s="235"/>
      <c r="BN132" s="235"/>
      <c r="BO132" s="235"/>
      <c r="BP132" s="235"/>
      <c r="BQ132" s="235"/>
      <c r="BR132" s="235"/>
      <c r="BS132" s="235"/>
      <c r="BT132" s="235"/>
      <c r="BU132" s="254"/>
      <c r="BV132" s="244"/>
      <c r="BW132" s="235"/>
      <c r="BX132" s="235"/>
      <c r="BY132" s="235"/>
      <c r="BZ132" s="235"/>
      <c r="CA132" s="235"/>
      <c r="CB132" s="235"/>
      <c r="CC132" s="235"/>
      <c r="CD132" s="235"/>
      <c r="CE132" s="235"/>
      <c r="CF132" s="235"/>
      <c r="CG132" s="254"/>
      <c r="CH132" s="244"/>
      <c r="CI132" s="351"/>
      <c r="CJ132" s="235"/>
      <c r="CK132" s="235"/>
      <c r="CL132" s="254" t="s">
        <v>1475</v>
      </c>
      <c r="CM132" s="235"/>
      <c r="CN132" s="235"/>
      <c r="CO132" s="235"/>
      <c r="CP132" s="235"/>
      <c r="CQ132" s="235"/>
      <c r="CR132" s="235"/>
      <c r="CS132" s="233"/>
      <c r="CT132" s="235"/>
    </row>
    <row r="133" spans="1:98" x14ac:dyDescent="0.25">
      <c r="A133" s="763"/>
      <c r="B133" s="292">
        <v>128</v>
      </c>
      <c r="C133" s="293"/>
      <c r="D133" s="194" t="s">
        <v>1370</v>
      </c>
      <c r="E133" s="53"/>
      <c r="F133" s="22"/>
      <c r="G133" s="22"/>
      <c r="H133" s="22"/>
      <c r="I133" s="22"/>
      <c r="J133" s="22"/>
      <c r="K133" s="22"/>
      <c r="L133" s="72"/>
      <c r="M133" s="22"/>
      <c r="N133" s="54"/>
      <c r="O133" s="164"/>
      <c r="P133" s="165"/>
      <c r="Q133" s="165"/>
      <c r="R133" s="79"/>
      <c r="S133" s="165"/>
      <c r="T133" s="165"/>
      <c r="U133" s="165"/>
      <c r="V133" s="165"/>
      <c r="W133" s="165"/>
      <c r="X133" s="165"/>
      <c r="Y133" s="165"/>
      <c r="Z133" s="167"/>
      <c r="AA133" s="219"/>
      <c r="AB133" s="208"/>
      <c r="AC133" s="208"/>
      <c r="AD133" s="208"/>
      <c r="AE133" s="208"/>
      <c r="AF133" s="208"/>
      <c r="AG133" s="208"/>
      <c r="AH133" s="208"/>
      <c r="AI133" s="208"/>
      <c r="AJ133" s="208"/>
      <c r="AK133" s="208"/>
      <c r="AL133" s="223"/>
      <c r="AM133" s="243"/>
      <c r="AN133" s="41"/>
      <c r="AO133" s="235"/>
      <c r="AP133" s="235"/>
      <c r="AQ133" s="235"/>
      <c r="AR133" s="235"/>
      <c r="AS133" s="235"/>
      <c r="AT133" s="235"/>
      <c r="AU133" s="350"/>
      <c r="AV133" s="352"/>
      <c r="AW133" s="351"/>
      <c r="AX133" s="244"/>
      <c r="AY133" s="243"/>
      <c r="AZ133" s="41"/>
      <c r="BA133" s="235"/>
      <c r="BB133" s="235"/>
      <c r="BC133" s="235"/>
      <c r="BD133" s="235"/>
      <c r="BE133" s="235"/>
      <c r="BF133" s="235"/>
      <c r="BG133" s="235"/>
      <c r="BH133" s="254"/>
      <c r="BI133" s="235"/>
      <c r="BJ133" s="244"/>
      <c r="BK133" s="243"/>
      <c r="BL133" s="346"/>
      <c r="BM133" s="235"/>
      <c r="BN133" s="235"/>
      <c r="BO133" s="235"/>
      <c r="BP133" s="235"/>
      <c r="BQ133" s="235"/>
      <c r="BR133" s="235"/>
      <c r="BS133" s="235"/>
      <c r="BT133" s="235"/>
      <c r="BU133" s="254"/>
      <c r="BV133" s="244"/>
      <c r="BW133" s="235"/>
      <c r="BX133" s="235"/>
      <c r="BY133" s="235"/>
      <c r="BZ133" s="235"/>
      <c r="CA133" s="235"/>
      <c r="CB133" s="235"/>
      <c r="CC133" s="235"/>
      <c r="CD133" s="235"/>
      <c r="CE133" s="235"/>
      <c r="CF133" s="235"/>
      <c r="CG133" s="254"/>
      <c r="CH133" s="244"/>
      <c r="CI133" s="351"/>
      <c r="CJ133" s="235"/>
      <c r="CK133" s="235"/>
      <c r="CL133" s="235"/>
      <c r="CM133" s="235"/>
      <c r="CN133" s="235"/>
      <c r="CO133" s="235"/>
      <c r="CP133" s="235"/>
      <c r="CQ133" s="235"/>
      <c r="CR133" s="235"/>
      <c r="CS133" s="233"/>
      <c r="CT133" s="235"/>
    </row>
    <row r="134" spans="1:98" x14ac:dyDescent="0.25">
      <c r="A134" s="763"/>
      <c r="B134" s="292">
        <v>129</v>
      </c>
      <c r="C134" s="293"/>
      <c r="D134" s="194" t="s">
        <v>1371</v>
      </c>
      <c r="E134" s="53"/>
      <c r="F134" s="22"/>
      <c r="G134" s="22"/>
      <c r="H134" s="22"/>
      <c r="I134" s="22"/>
      <c r="J134" s="22"/>
      <c r="K134" s="22"/>
      <c r="L134" s="72"/>
      <c r="M134" s="22"/>
      <c r="N134" s="54"/>
      <c r="O134" s="164"/>
      <c r="P134" s="165"/>
      <c r="Q134" s="165"/>
      <c r="R134" s="79"/>
      <c r="S134" s="165"/>
      <c r="T134" s="165"/>
      <c r="U134" s="165"/>
      <c r="V134" s="165"/>
      <c r="W134" s="165"/>
      <c r="X134" s="165"/>
      <c r="Y134" s="165"/>
      <c r="Z134" s="167"/>
      <c r="AA134" s="219"/>
      <c r="AB134" s="208"/>
      <c r="AC134" s="208"/>
      <c r="AD134" s="208"/>
      <c r="AE134" s="208"/>
      <c r="AF134" s="208"/>
      <c r="AG134" s="208"/>
      <c r="AH134" s="208"/>
      <c r="AI134" s="208"/>
      <c r="AJ134" s="208"/>
      <c r="AK134" s="208"/>
      <c r="AL134" s="223"/>
      <c r="AM134" s="243"/>
      <c r="AN134" s="41"/>
      <c r="AO134" s="235"/>
      <c r="AP134" s="235"/>
      <c r="AQ134" s="235"/>
      <c r="AR134" s="235"/>
      <c r="AS134" s="235"/>
      <c r="AT134" s="235"/>
      <c r="AU134" s="350"/>
      <c r="AV134" s="352"/>
      <c r="AW134" s="351"/>
      <c r="AX134" s="244"/>
      <c r="AY134" s="243"/>
      <c r="AZ134" s="41"/>
      <c r="BA134" s="235"/>
      <c r="BB134" s="235"/>
      <c r="BC134" s="235"/>
      <c r="BD134" s="235"/>
      <c r="BE134" s="235"/>
      <c r="BF134" s="235"/>
      <c r="BG134" s="235"/>
      <c r="BH134" s="254"/>
      <c r="BI134" s="235"/>
      <c r="BJ134" s="244"/>
      <c r="BK134" s="243"/>
      <c r="BL134" s="346"/>
      <c r="BM134" s="235"/>
      <c r="BN134" s="235"/>
      <c r="BO134" s="235"/>
      <c r="BP134" s="235"/>
      <c r="BQ134" s="235"/>
      <c r="BR134" s="235"/>
      <c r="BS134" s="235"/>
      <c r="BT134" s="235"/>
      <c r="BU134" s="254"/>
      <c r="BV134" s="244"/>
      <c r="BW134" s="235"/>
      <c r="BX134" s="235"/>
      <c r="BY134" s="235"/>
      <c r="BZ134" s="235"/>
      <c r="CA134" s="235"/>
      <c r="CB134" s="235"/>
      <c r="CC134" s="235"/>
      <c r="CD134" s="235"/>
      <c r="CE134" s="235"/>
      <c r="CF134" s="235"/>
      <c r="CG134" s="254"/>
      <c r="CH134" s="244"/>
      <c r="CI134" s="351"/>
      <c r="CJ134" s="235"/>
      <c r="CK134" s="235"/>
      <c r="CL134" s="235"/>
      <c r="CM134" s="235"/>
      <c r="CN134" s="235"/>
      <c r="CO134" s="235"/>
      <c r="CP134" s="235"/>
      <c r="CQ134" s="235"/>
      <c r="CR134" s="235"/>
      <c r="CS134" s="233"/>
      <c r="CT134" s="235"/>
    </row>
    <row r="135" spans="1:98" x14ac:dyDescent="0.25">
      <c r="A135" s="763"/>
      <c r="B135" s="292">
        <v>130</v>
      </c>
      <c r="C135" s="293" t="s">
        <v>617</v>
      </c>
      <c r="D135" s="194" t="s">
        <v>438</v>
      </c>
      <c r="E135" s="53"/>
      <c r="F135" s="22"/>
      <c r="G135" s="22"/>
      <c r="H135" s="22"/>
      <c r="I135" s="22"/>
      <c r="J135" s="22"/>
      <c r="K135" s="22"/>
      <c r="L135" s="22"/>
      <c r="M135" s="22"/>
      <c r="N135" s="54"/>
      <c r="O135" s="164"/>
      <c r="P135" s="165"/>
      <c r="Q135" s="165"/>
      <c r="R135" s="165"/>
      <c r="S135" s="165"/>
      <c r="T135" s="165"/>
      <c r="U135" s="165"/>
      <c r="V135" s="79"/>
      <c r="W135" s="165"/>
      <c r="X135" s="165"/>
      <c r="Y135" s="165"/>
      <c r="Z135" s="177"/>
      <c r="AA135" s="219"/>
      <c r="AB135" s="208"/>
      <c r="AC135" s="208"/>
      <c r="AD135" s="208"/>
      <c r="AE135" s="208"/>
      <c r="AF135" s="208"/>
      <c r="AG135" s="208"/>
      <c r="AH135" s="208"/>
      <c r="AI135" s="208"/>
      <c r="AJ135" s="208"/>
      <c r="AK135" s="208"/>
      <c r="AL135" s="224"/>
      <c r="AM135" s="243"/>
      <c r="AN135" s="235"/>
      <c r="AO135" s="235"/>
      <c r="AP135" s="235"/>
      <c r="AQ135" s="235"/>
      <c r="AR135" s="235"/>
      <c r="AS135" s="235"/>
      <c r="AT135" s="254"/>
      <c r="AU135" s="350"/>
      <c r="AV135" s="352"/>
      <c r="AW135" s="351"/>
      <c r="AX135" s="244"/>
      <c r="AY135" s="243"/>
      <c r="AZ135" s="235"/>
      <c r="BA135" s="235"/>
      <c r="BB135" s="235"/>
      <c r="BC135" s="235"/>
      <c r="BD135" s="235"/>
      <c r="BE135" s="235"/>
      <c r="BF135" s="235"/>
      <c r="BG135" s="235"/>
      <c r="BH135" s="235"/>
      <c r="BI135" s="254"/>
      <c r="BJ135" s="244"/>
      <c r="BK135" s="243"/>
      <c r="BL135" s="235"/>
      <c r="BM135" s="235"/>
      <c r="BN135" s="235"/>
      <c r="BO135" s="235"/>
      <c r="BP135" s="235"/>
      <c r="BQ135" s="235"/>
      <c r="BR135" s="235"/>
      <c r="BS135" s="235"/>
      <c r="BT135" s="254"/>
      <c r="BU135" s="235"/>
      <c r="BV135" s="244"/>
      <c r="BW135" s="254" t="s">
        <v>1170</v>
      </c>
      <c r="BX135" s="235"/>
      <c r="BY135" s="235"/>
      <c r="BZ135" s="235"/>
      <c r="CA135" s="235"/>
      <c r="CB135" s="235"/>
      <c r="CC135" s="235"/>
      <c r="CD135" s="235"/>
      <c r="CE135" s="235"/>
      <c r="CF135" s="254"/>
      <c r="CG135" s="235"/>
      <c r="CH135" s="244"/>
      <c r="CI135" s="706"/>
      <c r="CJ135" s="235"/>
      <c r="CK135" s="235"/>
      <c r="CL135" s="235"/>
      <c r="CM135" s="235"/>
      <c r="CN135" s="235"/>
      <c r="CO135" s="235"/>
      <c r="CP135" s="235"/>
      <c r="CQ135" s="235"/>
      <c r="CR135" s="233"/>
      <c r="CS135" s="235"/>
      <c r="CT135" s="235"/>
    </row>
    <row r="136" spans="1:98" x14ac:dyDescent="0.25">
      <c r="A136" s="763"/>
      <c r="B136" s="292">
        <v>131</v>
      </c>
      <c r="C136" s="293" t="s">
        <v>618</v>
      </c>
      <c r="D136" s="194" t="s">
        <v>445</v>
      </c>
      <c r="E136" s="53"/>
      <c r="F136" s="22"/>
      <c r="G136" s="22"/>
      <c r="H136" s="22"/>
      <c r="I136" s="22"/>
      <c r="J136" s="22"/>
      <c r="K136" s="22"/>
      <c r="L136" s="22"/>
      <c r="M136" s="22"/>
      <c r="N136" s="54"/>
      <c r="O136" s="164"/>
      <c r="P136" s="165"/>
      <c r="Q136" s="165"/>
      <c r="R136" s="165"/>
      <c r="S136" s="165"/>
      <c r="T136" s="165"/>
      <c r="U136" s="165"/>
      <c r="V136" s="79"/>
      <c r="W136" s="165"/>
      <c r="X136" s="165"/>
      <c r="Y136" s="165"/>
      <c r="Z136" s="177"/>
      <c r="AA136" s="219"/>
      <c r="AB136" s="208"/>
      <c r="AC136" s="208"/>
      <c r="AD136" s="208"/>
      <c r="AE136" s="208"/>
      <c r="AF136" s="208"/>
      <c r="AG136" s="208"/>
      <c r="AH136" s="208"/>
      <c r="AI136" s="208"/>
      <c r="AJ136" s="208"/>
      <c r="AK136" s="208"/>
      <c r="AL136" s="224"/>
      <c r="AM136" s="243"/>
      <c r="AN136" s="235"/>
      <c r="AO136" s="235"/>
      <c r="AP136" s="235"/>
      <c r="AQ136" s="235"/>
      <c r="AR136" s="235"/>
      <c r="AS136" s="235"/>
      <c r="AT136" s="254"/>
      <c r="AU136" s="350"/>
      <c r="AV136" s="352"/>
      <c r="AW136" s="351"/>
      <c r="AX136" s="244"/>
      <c r="AY136" s="243"/>
      <c r="AZ136" s="235"/>
      <c r="BA136" s="235"/>
      <c r="BB136" s="235"/>
      <c r="BC136" s="235"/>
      <c r="BD136" s="235"/>
      <c r="BE136" s="235"/>
      <c r="BF136" s="235"/>
      <c r="BG136" s="235"/>
      <c r="BH136" s="235"/>
      <c r="BI136" s="254"/>
      <c r="BJ136" s="244"/>
      <c r="BK136" s="243"/>
      <c r="BL136" s="235"/>
      <c r="BM136" s="235"/>
      <c r="BN136" s="235"/>
      <c r="BO136" s="235"/>
      <c r="BP136" s="235"/>
      <c r="BQ136" s="235"/>
      <c r="BR136" s="235"/>
      <c r="BS136" s="235"/>
      <c r="BT136" s="254"/>
      <c r="BU136" s="235"/>
      <c r="BV136" s="244"/>
      <c r="BW136" s="235"/>
      <c r="BX136" s="235"/>
      <c r="BY136" s="235"/>
      <c r="BZ136" s="235"/>
      <c r="CA136" s="235"/>
      <c r="CB136" s="235"/>
      <c r="CC136" s="235"/>
      <c r="CD136" s="235"/>
      <c r="CE136" s="235"/>
      <c r="CF136" s="254"/>
      <c r="CG136" s="235"/>
      <c r="CH136" s="244"/>
      <c r="CI136" s="351"/>
      <c r="CJ136" s="235"/>
      <c r="CK136" s="235"/>
      <c r="CL136" s="235"/>
      <c r="CM136" s="235"/>
      <c r="CN136" s="235"/>
      <c r="CO136" s="235"/>
      <c r="CP136" s="235"/>
      <c r="CQ136" s="235"/>
      <c r="CR136" s="233"/>
      <c r="CS136" s="235"/>
      <c r="CT136" s="235"/>
    </row>
    <row r="137" spans="1:98" x14ac:dyDescent="0.25">
      <c r="A137" s="763"/>
      <c r="B137" s="292">
        <v>132</v>
      </c>
      <c r="C137" s="293" t="s">
        <v>619</v>
      </c>
      <c r="D137" s="194" t="s">
        <v>446</v>
      </c>
      <c r="E137" s="53"/>
      <c r="F137" s="22"/>
      <c r="G137" s="22"/>
      <c r="H137" s="22"/>
      <c r="I137" s="22"/>
      <c r="J137" s="22"/>
      <c r="K137" s="22"/>
      <c r="L137" s="22"/>
      <c r="M137" s="22"/>
      <c r="N137" s="54"/>
      <c r="O137" s="164"/>
      <c r="P137" s="165"/>
      <c r="Q137" s="165"/>
      <c r="R137" s="165"/>
      <c r="S137" s="165"/>
      <c r="T137" s="165"/>
      <c r="U137" s="165"/>
      <c r="V137" s="79"/>
      <c r="W137" s="165"/>
      <c r="X137" s="165"/>
      <c r="Y137" s="165"/>
      <c r="Z137" s="177"/>
      <c r="AA137" s="219"/>
      <c r="AB137" s="208"/>
      <c r="AC137" s="208"/>
      <c r="AD137" s="208"/>
      <c r="AE137" s="208"/>
      <c r="AF137" s="208"/>
      <c r="AG137" s="208"/>
      <c r="AH137" s="208"/>
      <c r="AI137" s="208"/>
      <c r="AJ137" s="208"/>
      <c r="AK137" s="208"/>
      <c r="AL137" s="224"/>
      <c r="AM137" s="243"/>
      <c r="AN137" s="235"/>
      <c r="AO137" s="235"/>
      <c r="AP137" s="235"/>
      <c r="AQ137" s="235"/>
      <c r="AR137" s="235"/>
      <c r="AS137" s="235"/>
      <c r="AT137" s="254"/>
      <c r="AU137" s="350"/>
      <c r="AV137" s="352"/>
      <c r="AW137" s="351"/>
      <c r="AX137" s="244"/>
      <c r="AY137" s="243"/>
      <c r="AZ137" s="235"/>
      <c r="BA137" s="235"/>
      <c r="BB137" s="235"/>
      <c r="BC137" s="235"/>
      <c r="BD137" s="235"/>
      <c r="BE137" s="235"/>
      <c r="BF137" s="235"/>
      <c r="BG137" s="235"/>
      <c r="BH137" s="235"/>
      <c r="BI137" s="254"/>
      <c r="BJ137" s="244"/>
      <c r="BK137" s="243"/>
      <c r="BL137" s="235"/>
      <c r="BM137" s="235"/>
      <c r="BN137" s="235"/>
      <c r="BO137" s="235"/>
      <c r="BP137" s="235"/>
      <c r="BQ137" s="235"/>
      <c r="BR137" s="235"/>
      <c r="BS137" s="235"/>
      <c r="BT137" s="254"/>
      <c r="BU137" s="235"/>
      <c r="BV137" s="244"/>
      <c r="BW137" s="235"/>
      <c r="BX137" s="235"/>
      <c r="BY137" s="235"/>
      <c r="BZ137" s="235"/>
      <c r="CA137" s="235"/>
      <c r="CB137" s="235"/>
      <c r="CC137" s="235"/>
      <c r="CD137" s="235"/>
      <c r="CE137" s="235"/>
      <c r="CF137" s="254"/>
      <c r="CG137" s="235"/>
      <c r="CH137" s="244"/>
      <c r="CI137" s="351"/>
      <c r="CJ137" s="235"/>
      <c r="CK137" s="235"/>
      <c r="CL137" s="235"/>
      <c r="CM137" s="235"/>
      <c r="CN137" s="235"/>
      <c r="CO137" s="235"/>
      <c r="CP137" s="235"/>
      <c r="CQ137" s="235"/>
      <c r="CR137" s="233"/>
      <c r="CS137" s="235"/>
      <c r="CT137" s="235"/>
    </row>
    <row r="138" spans="1:98" x14ac:dyDescent="0.25">
      <c r="A138" s="763"/>
      <c r="B138" s="292">
        <v>133</v>
      </c>
      <c r="C138" s="293" t="s">
        <v>620</v>
      </c>
      <c r="D138" s="194" t="s">
        <v>447</v>
      </c>
      <c r="E138" s="53"/>
      <c r="F138" s="22"/>
      <c r="G138" s="22"/>
      <c r="H138" s="22"/>
      <c r="I138" s="22"/>
      <c r="J138" s="22"/>
      <c r="K138" s="22"/>
      <c r="L138" s="22"/>
      <c r="M138" s="22"/>
      <c r="N138" s="54"/>
      <c r="O138" s="164"/>
      <c r="P138" s="165"/>
      <c r="Q138" s="165"/>
      <c r="R138" s="165"/>
      <c r="S138" s="165"/>
      <c r="T138" s="165"/>
      <c r="U138" s="165"/>
      <c r="V138" s="79"/>
      <c r="W138" s="165"/>
      <c r="X138" s="165"/>
      <c r="Y138" s="165"/>
      <c r="Z138" s="177"/>
      <c r="AA138" s="219"/>
      <c r="AB138" s="208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24"/>
      <c r="AM138" s="243"/>
      <c r="AN138" s="235"/>
      <c r="AO138" s="235"/>
      <c r="AP138" s="235"/>
      <c r="AQ138" s="235"/>
      <c r="AR138" s="235"/>
      <c r="AS138" s="235"/>
      <c r="AT138" s="254"/>
      <c r="AU138" s="350"/>
      <c r="AV138" s="352"/>
      <c r="AW138" s="351"/>
      <c r="AX138" s="244"/>
      <c r="AY138" s="243"/>
      <c r="AZ138" s="235"/>
      <c r="BA138" s="235"/>
      <c r="BB138" s="235"/>
      <c r="BC138" s="235"/>
      <c r="BD138" s="235"/>
      <c r="BE138" s="235"/>
      <c r="BF138" s="235"/>
      <c r="BG138" s="235"/>
      <c r="BH138" s="235"/>
      <c r="BI138" s="254"/>
      <c r="BJ138" s="244"/>
      <c r="BK138" s="243"/>
      <c r="BL138" s="235"/>
      <c r="BM138" s="235"/>
      <c r="BN138" s="235"/>
      <c r="BO138" s="235"/>
      <c r="BP138" s="235"/>
      <c r="BQ138" s="235"/>
      <c r="BR138" s="235"/>
      <c r="BS138" s="235"/>
      <c r="BT138" s="254"/>
      <c r="BU138" s="235"/>
      <c r="BV138" s="244"/>
      <c r="BW138" s="235"/>
      <c r="BX138" s="235"/>
      <c r="BY138" s="235"/>
      <c r="BZ138" s="235"/>
      <c r="CA138" s="235"/>
      <c r="CB138" s="235"/>
      <c r="CC138" s="235"/>
      <c r="CD138" s="235"/>
      <c r="CE138" s="235"/>
      <c r="CF138" s="254"/>
      <c r="CG138" s="235"/>
      <c r="CH138" s="244"/>
      <c r="CI138" s="351"/>
      <c r="CJ138" s="235"/>
      <c r="CK138" s="235"/>
      <c r="CL138" s="235"/>
      <c r="CM138" s="235"/>
      <c r="CN138" s="235"/>
      <c r="CO138" s="235"/>
      <c r="CP138" s="235"/>
      <c r="CQ138" s="235"/>
      <c r="CR138" s="233"/>
      <c r="CS138" s="235"/>
      <c r="CT138" s="235"/>
    </row>
    <row r="139" spans="1:98" x14ac:dyDescent="0.25">
      <c r="A139" s="763"/>
      <c r="B139" s="292">
        <v>134</v>
      </c>
      <c r="C139" s="293" t="s">
        <v>621</v>
      </c>
      <c r="D139" s="194" t="s">
        <v>448</v>
      </c>
      <c r="E139" s="53"/>
      <c r="F139" s="22"/>
      <c r="G139" s="22"/>
      <c r="H139" s="22"/>
      <c r="I139" s="22"/>
      <c r="J139" s="22"/>
      <c r="K139" s="22"/>
      <c r="L139" s="22"/>
      <c r="M139" s="22"/>
      <c r="N139" s="54"/>
      <c r="O139" s="164"/>
      <c r="P139" s="165"/>
      <c r="Q139" s="165"/>
      <c r="R139" s="165"/>
      <c r="S139" s="41"/>
      <c r="T139" s="165"/>
      <c r="U139" s="165"/>
      <c r="V139" s="165"/>
      <c r="W139" s="165"/>
      <c r="X139" s="165"/>
      <c r="Y139" s="165"/>
      <c r="Z139" s="167"/>
      <c r="AA139" s="219"/>
      <c r="AB139" s="208"/>
      <c r="AC139" s="208"/>
      <c r="AD139" s="208"/>
      <c r="AE139" s="208"/>
      <c r="AF139" s="208"/>
      <c r="AG139" s="208"/>
      <c r="AH139" s="208"/>
      <c r="AI139" s="208"/>
      <c r="AJ139" s="208"/>
      <c r="AK139" s="208"/>
      <c r="AL139" s="324"/>
      <c r="AM139" s="253"/>
      <c r="AN139" s="235"/>
      <c r="AO139" s="235"/>
      <c r="AP139" s="235"/>
      <c r="AQ139" s="235"/>
      <c r="AR139" s="235"/>
      <c r="AS139" s="235"/>
      <c r="AT139" s="235"/>
      <c r="AU139" s="350"/>
      <c r="AV139" s="352"/>
      <c r="AW139" s="351"/>
      <c r="AX139" s="252"/>
      <c r="AZ139" s="235"/>
      <c r="BA139" s="235"/>
      <c r="BB139" s="235"/>
      <c r="BC139" s="235"/>
      <c r="BD139" s="235"/>
      <c r="BE139" s="235"/>
      <c r="BF139" s="235"/>
      <c r="BG139" s="235"/>
      <c r="BH139" s="235"/>
      <c r="BI139" s="235"/>
      <c r="BK139" s="349"/>
      <c r="BL139" s="235"/>
      <c r="BM139" s="235"/>
      <c r="BN139" s="235"/>
      <c r="BO139" s="235"/>
      <c r="BP139" s="235"/>
      <c r="BQ139" s="235"/>
      <c r="BR139" s="235"/>
      <c r="BS139" s="235"/>
      <c r="BT139" s="235"/>
      <c r="BU139" s="235"/>
      <c r="BV139" s="244"/>
      <c r="BX139" s="349"/>
      <c r="BY139" s="235"/>
      <c r="BZ139" s="235"/>
      <c r="CA139" s="235"/>
      <c r="CB139" s="235"/>
      <c r="CC139" s="235"/>
      <c r="CD139" s="235"/>
      <c r="CE139" s="235"/>
      <c r="CF139" s="235"/>
      <c r="CG139" s="235"/>
      <c r="CH139" s="349"/>
      <c r="CJ139" s="690"/>
      <c r="CK139" s="235"/>
      <c r="CL139" s="235"/>
      <c r="CM139" s="235"/>
      <c r="CN139" s="235"/>
      <c r="CO139" s="235"/>
      <c r="CP139" s="235"/>
      <c r="CQ139" s="235"/>
      <c r="CR139" s="235"/>
      <c r="CS139" s="235"/>
      <c r="CT139" s="235"/>
    </row>
    <row r="140" spans="1:98" x14ac:dyDescent="0.25">
      <c r="A140" s="763"/>
      <c r="B140" s="292">
        <v>135</v>
      </c>
      <c r="C140" s="293" t="s">
        <v>622</v>
      </c>
      <c r="D140" s="194" t="s">
        <v>449</v>
      </c>
      <c r="E140" s="31"/>
      <c r="F140" s="21"/>
      <c r="G140" s="21"/>
      <c r="H140" s="21"/>
      <c r="I140" s="21"/>
      <c r="J140" s="21"/>
      <c r="K140" s="21"/>
      <c r="L140" s="21"/>
      <c r="M140" s="21"/>
      <c r="N140" s="32"/>
      <c r="O140" s="43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7"/>
      <c r="AA140" s="219"/>
      <c r="AB140" s="208"/>
      <c r="AC140" s="208"/>
      <c r="AD140" s="208"/>
      <c r="AE140" s="208"/>
      <c r="AF140" s="208"/>
      <c r="AG140" s="208"/>
      <c r="AH140" s="208"/>
      <c r="AI140" s="208"/>
      <c r="AJ140" s="208"/>
      <c r="AK140" s="208"/>
      <c r="AL140" s="323"/>
      <c r="AM140" s="243"/>
      <c r="AN140" s="235"/>
      <c r="AO140" s="235"/>
      <c r="AP140" s="235"/>
      <c r="AQ140" s="235"/>
      <c r="AR140" s="235"/>
      <c r="AS140" s="235"/>
      <c r="AT140" s="235"/>
      <c r="AU140" s="350"/>
      <c r="AV140" s="352"/>
      <c r="AW140" s="351"/>
      <c r="AX140" s="244"/>
      <c r="AY140" s="252"/>
      <c r="AZ140" s="235"/>
      <c r="BA140" s="235"/>
      <c r="BB140" s="235"/>
      <c r="BC140" s="235"/>
      <c r="BD140" s="235"/>
      <c r="BE140" s="235"/>
      <c r="BF140" s="235"/>
      <c r="BG140" s="235"/>
      <c r="BH140" s="235"/>
      <c r="BI140" s="235"/>
      <c r="BJ140" s="244"/>
      <c r="BK140" s="252"/>
      <c r="BL140" s="235"/>
      <c r="BM140" s="235"/>
      <c r="BN140" s="235"/>
      <c r="BO140" s="235"/>
      <c r="BP140" s="235"/>
      <c r="BQ140" s="235"/>
      <c r="BR140" s="235"/>
      <c r="BS140" s="235"/>
      <c r="BT140" s="235"/>
      <c r="BU140" s="235"/>
      <c r="BV140" s="244"/>
      <c r="BW140" s="349"/>
      <c r="BX140" s="235"/>
      <c r="BY140" s="235"/>
      <c r="BZ140" s="235"/>
      <c r="CA140" s="235"/>
      <c r="CB140" s="235"/>
      <c r="CC140" s="235"/>
      <c r="CD140" s="254"/>
      <c r="CE140" s="235"/>
      <c r="CF140" s="235"/>
      <c r="CG140" s="235"/>
      <c r="CH140" s="244"/>
      <c r="CI140" s="707"/>
      <c r="CJ140" s="235"/>
      <c r="CK140" s="235"/>
      <c r="CL140" s="235"/>
      <c r="CM140" s="235"/>
      <c r="CN140" s="235"/>
      <c r="CO140" s="235"/>
      <c r="CP140" s="233"/>
      <c r="CQ140" s="235"/>
      <c r="CR140" s="235"/>
      <c r="CS140" s="235"/>
      <c r="CT140" s="235"/>
    </row>
    <row r="141" spans="1:98" x14ac:dyDescent="0.25">
      <c r="A141" s="763"/>
      <c r="B141" s="292">
        <v>136</v>
      </c>
      <c r="C141" s="293" t="s">
        <v>623</v>
      </c>
      <c r="D141" s="194" t="s">
        <v>187</v>
      </c>
      <c r="E141" s="31"/>
      <c r="F141" s="21"/>
      <c r="G141" s="21"/>
      <c r="H141" s="21"/>
      <c r="I141" s="21"/>
      <c r="J141" s="21"/>
      <c r="K141" s="21"/>
      <c r="L141" s="21"/>
      <c r="M141" s="21"/>
      <c r="N141" s="32"/>
      <c r="O141" s="43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7"/>
      <c r="AA141" s="219"/>
      <c r="AB141" s="208"/>
      <c r="AC141" s="208"/>
      <c r="AD141" s="208"/>
      <c r="AE141" s="208"/>
      <c r="AF141" s="208"/>
      <c r="AG141" s="208"/>
      <c r="AH141" s="208"/>
      <c r="AI141" s="208"/>
      <c r="AJ141" s="208"/>
      <c r="AK141" s="208"/>
      <c r="AL141" s="223"/>
      <c r="AM141" s="243"/>
      <c r="AN141" s="235"/>
      <c r="AO141" s="235"/>
      <c r="AP141" s="235"/>
      <c r="AQ141" s="235"/>
      <c r="AR141" s="235"/>
      <c r="AS141" s="235"/>
      <c r="AT141" s="235"/>
      <c r="AU141" s="235"/>
      <c r="AV141" s="352"/>
      <c r="AW141" s="235"/>
      <c r="AX141" s="244"/>
      <c r="AY141" s="243"/>
      <c r="AZ141" s="235"/>
      <c r="BA141" s="235"/>
      <c r="BB141" s="235"/>
      <c r="BC141" s="235"/>
      <c r="BD141" s="235"/>
      <c r="BE141" s="235"/>
      <c r="BF141" s="235"/>
      <c r="BG141" s="235"/>
      <c r="BH141" s="235"/>
      <c r="BI141" s="235"/>
      <c r="BJ141" s="244"/>
      <c r="BK141" s="243"/>
      <c r="BL141" s="235"/>
      <c r="BM141" s="235"/>
      <c r="BN141" s="235"/>
      <c r="BO141" s="235"/>
      <c r="BP141" s="235"/>
      <c r="BQ141" s="235"/>
      <c r="BR141" s="235"/>
      <c r="BS141" s="235"/>
      <c r="BT141" s="235"/>
      <c r="BU141" s="235"/>
      <c r="BV141" s="244"/>
      <c r="BW141" s="235"/>
      <c r="BX141" s="235"/>
      <c r="BY141" s="235"/>
      <c r="BZ141" s="235"/>
      <c r="CA141" s="235"/>
      <c r="CB141" s="235"/>
      <c r="CC141" s="235"/>
      <c r="CD141" s="235"/>
      <c r="CE141" s="235"/>
      <c r="CF141" s="235"/>
      <c r="CG141" s="235"/>
      <c r="CH141" s="244"/>
      <c r="CI141" s="351"/>
      <c r="CJ141" s="235"/>
      <c r="CK141" s="235"/>
      <c r="CL141" s="235"/>
      <c r="CM141" s="235"/>
      <c r="CN141" s="235"/>
      <c r="CO141" s="235"/>
      <c r="CP141" s="235"/>
      <c r="CQ141" s="235"/>
      <c r="CR141" s="235"/>
      <c r="CS141" s="235"/>
      <c r="CT141" s="235"/>
    </row>
    <row r="142" spans="1:98" x14ac:dyDescent="0.25">
      <c r="A142" s="763"/>
      <c r="B142" s="292">
        <v>137</v>
      </c>
      <c r="C142" s="293" t="s">
        <v>624</v>
      </c>
      <c r="D142" s="194" t="s">
        <v>188</v>
      </c>
      <c r="E142" s="53"/>
      <c r="F142" s="22"/>
      <c r="G142" s="22"/>
      <c r="H142" s="22"/>
      <c r="I142" s="22"/>
      <c r="J142" s="22"/>
      <c r="K142" s="22"/>
      <c r="L142" s="22"/>
      <c r="M142" s="22"/>
      <c r="N142" s="54"/>
      <c r="O142" s="43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7"/>
      <c r="AA142" s="219"/>
      <c r="AB142" s="208"/>
      <c r="AC142" s="208"/>
      <c r="AD142" s="208"/>
      <c r="AE142" s="208"/>
      <c r="AF142" s="208"/>
      <c r="AG142" s="208"/>
      <c r="AH142" s="208"/>
      <c r="AI142" s="208"/>
      <c r="AJ142" s="208"/>
      <c r="AK142" s="208"/>
      <c r="AL142" s="223"/>
      <c r="AM142" s="243"/>
      <c r="AN142" s="235"/>
      <c r="AO142" s="235"/>
      <c r="AP142" s="235"/>
      <c r="AQ142" s="235"/>
      <c r="AR142" s="235"/>
      <c r="AS142" s="235"/>
      <c r="AT142" s="235"/>
      <c r="AU142" s="235"/>
      <c r="AV142" s="235"/>
      <c r="AW142" s="235"/>
      <c r="AX142" s="244"/>
      <c r="AY142" s="243"/>
      <c r="AZ142" s="235"/>
      <c r="BA142" s="235"/>
      <c r="BB142" s="235"/>
      <c r="BC142" s="235"/>
      <c r="BD142" s="235"/>
      <c r="BE142" s="235"/>
      <c r="BF142" s="235"/>
      <c r="BG142" s="235"/>
      <c r="BH142" s="235"/>
      <c r="BI142" s="235"/>
      <c r="BJ142" s="244"/>
      <c r="BK142" s="243"/>
      <c r="BL142" s="235"/>
      <c r="BM142" s="235"/>
      <c r="BN142" s="235"/>
      <c r="BO142" s="235"/>
      <c r="BP142" s="235"/>
      <c r="BQ142" s="235"/>
      <c r="BR142" s="235"/>
      <c r="BS142" s="235"/>
      <c r="BT142" s="235"/>
      <c r="BU142" s="235"/>
      <c r="BV142" s="244"/>
      <c r="BW142" s="235"/>
      <c r="BX142" s="235"/>
      <c r="BY142" s="235"/>
      <c r="BZ142" s="235"/>
      <c r="CA142" s="235"/>
      <c r="CB142" s="235"/>
      <c r="CC142" s="235"/>
      <c r="CD142" s="235"/>
      <c r="CE142" s="235"/>
      <c r="CF142" s="235"/>
      <c r="CG142" s="235"/>
      <c r="CH142" s="244"/>
      <c r="CI142" s="351"/>
      <c r="CJ142" s="235"/>
      <c r="CK142" s="235"/>
      <c r="CL142" s="235"/>
      <c r="CM142" s="235"/>
      <c r="CN142" s="235"/>
      <c r="CO142" s="235"/>
      <c r="CP142" s="235"/>
      <c r="CQ142" s="235"/>
      <c r="CR142" s="235"/>
      <c r="CS142" s="235"/>
      <c r="CT142" s="235"/>
    </row>
    <row r="143" spans="1:98" x14ac:dyDescent="0.25">
      <c r="A143" s="763"/>
      <c r="B143" s="292">
        <v>138</v>
      </c>
      <c r="C143" s="293" t="s">
        <v>625</v>
      </c>
      <c r="D143" s="194" t="s">
        <v>164</v>
      </c>
      <c r="E143" s="53"/>
      <c r="F143" s="22"/>
      <c r="G143" s="22"/>
      <c r="H143" s="22"/>
      <c r="I143" s="22"/>
      <c r="J143" s="22"/>
      <c r="K143" s="22"/>
      <c r="L143" s="22"/>
      <c r="M143" s="22"/>
      <c r="N143" s="54"/>
      <c r="O143" s="43"/>
      <c r="P143" s="165"/>
      <c r="Q143" s="165"/>
      <c r="R143" s="165"/>
      <c r="S143" s="165"/>
      <c r="T143" s="165"/>
      <c r="U143" s="165"/>
      <c r="V143" s="165"/>
      <c r="W143" s="165"/>
      <c r="X143" s="41"/>
      <c r="Y143" s="165"/>
      <c r="Z143" s="167"/>
      <c r="AA143" s="219"/>
      <c r="AB143" s="208"/>
      <c r="AC143" s="208"/>
      <c r="AD143" s="208"/>
      <c r="AE143" s="208"/>
      <c r="AF143" s="208"/>
      <c r="AG143" s="208"/>
      <c r="AH143" s="208"/>
      <c r="AI143" s="208"/>
      <c r="AJ143" s="208"/>
      <c r="AK143" s="41"/>
      <c r="AL143" s="223"/>
      <c r="AM143" s="243"/>
      <c r="AN143" s="235"/>
      <c r="AO143" s="235"/>
      <c r="AP143" s="235"/>
      <c r="AQ143" s="235"/>
      <c r="AR143" s="235"/>
      <c r="AS143" s="235"/>
      <c r="AT143" s="235"/>
      <c r="AU143" s="235"/>
      <c r="AV143" s="235"/>
      <c r="AX143" s="254"/>
      <c r="AY143" s="243"/>
      <c r="AZ143" s="235"/>
      <c r="BA143" s="235"/>
      <c r="BB143" s="235"/>
      <c r="BC143" s="235"/>
      <c r="BD143" s="235"/>
      <c r="BE143" s="235"/>
      <c r="BF143" s="235"/>
      <c r="BG143" s="235"/>
      <c r="BH143" s="254" t="s">
        <v>1037</v>
      </c>
      <c r="BI143" s="235"/>
      <c r="BJ143" s="244"/>
      <c r="BK143" s="243"/>
      <c r="BL143" s="235"/>
      <c r="BM143" s="235"/>
      <c r="BN143" s="235"/>
      <c r="BO143" s="235"/>
      <c r="BP143" s="235"/>
      <c r="BQ143" s="235"/>
      <c r="BR143" s="235"/>
      <c r="BS143" s="235"/>
      <c r="BT143" s="235"/>
      <c r="BU143" s="235"/>
      <c r="BW143" s="349"/>
      <c r="BX143" s="235"/>
      <c r="BY143" s="235"/>
      <c r="BZ143" s="235"/>
      <c r="CA143" s="254"/>
      <c r="CB143" s="235"/>
      <c r="CC143" s="235"/>
      <c r="CD143" s="235"/>
      <c r="CE143" s="235"/>
      <c r="CF143" s="235"/>
      <c r="CG143" s="235"/>
      <c r="CH143" s="244"/>
      <c r="CI143" s="707"/>
      <c r="CJ143" s="254"/>
      <c r="CK143" s="235"/>
      <c r="CL143" s="235"/>
      <c r="CM143" s="233"/>
      <c r="CN143" s="235"/>
      <c r="CO143" s="235"/>
      <c r="CP143" s="235"/>
      <c r="CQ143" s="235"/>
      <c r="CR143" s="235"/>
      <c r="CS143" s="235"/>
      <c r="CT143" s="235"/>
    </row>
    <row r="144" spans="1:98" x14ac:dyDescent="0.25">
      <c r="A144" s="763"/>
      <c r="B144" s="292">
        <v>139</v>
      </c>
      <c r="C144" s="293" t="s">
        <v>626</v>
      </c>
      <c r="D144" s="194" t="s">
        <v>145</v>
      </c>
      <c r="E144" s="53"/>
      <c r="F144" s="22"/>
      <c r="G144" s="22"/>
      <c r="H144" s="22"/>
      <c r="I144" s="22"/>
      <c r="J144" s="22"/>
      <c r="K144" s="22"/>
      <c r="L144" s="22"/>
      <c r="M144" s="22"/>
      <c r="N144" s="54"/>
      <c r="O144" s="164"/>
      <c r="P144" s="165"/>
      <c r="Q144" s="165"/>
      <c r="R144" s="165"/>
      <c r="S144" s="37"/>
      <c r="T144" s="165"/>
      <c r="U144" s="165"/>
      <c r="V144" s="165"/>
      <c r="W144" s="165"/>
      <c r="X144" s="165"/>
      <c r="Y144" s="165"/>
      <c r="Z144" s="167"/>
      <c r="AA144" s="219"/>
      <c r="AB144" s="208"/>
      <c r="AC144" s="208"/>
      <c r="AD144" s="208"/>
      <c r="AE144" s="41"/>
      <c r="AF144" s="208"/>
      <c r="AG144" s="208"/>
      <c r="AH144" s="208"/>
      <c r="AI144" s="208"/>
      <c r="AJ144" s="208"/>
      <c r="AK144" s="208"/>
      <c r="AL144" s="223"/>
      <c r="AM144" s="243"/>
      <c r="AN144" s="235"/>
      <c r="AO144" s="235"/>
      <c r="AP144" s="235"/>
      <c r="AQ144" s="254"/>
      <c r="AR144" s="235"/>
      <c r="AS144" s="235"/>
      <c r="AT144" s="235"/>
      <c r="AU144" s="235"/>
      <c r="AV144" s="235"/>
      <c r="AW144" s="235"/>
      <c r="AX144" s="244"/>
      <c r="AY144" s="243"/>
      <c r="AZ144" s="254"/>
      <c r="BA144" s="235"/>
      <c r="BB144" s="235"/>
      <c r="BC144" s="235"/>
      <c r="BD144" s="235"/>
      <c r="BE144" s="235"/>
      <c r="BF144" s="235"/>
      <c r="BG144" s="235"/>
      <c r="BH144" s="235"/>
      <c r="BI144" s="235"/>
      <c r="BJ144" s="244"/>
      <c r="BK144" s="254"/>
      <c r="BL144" s="235"/>
      <c r="BM144" s="235"/>
      <c r="BN144" s="235"/>
      <c r="BO144" s="235"/>
      <c r="BP144" s="235"/>
      <c r="BQ144" s="235"/>
      <c r="BR144" s="235"/>
      <c r="BS144" s="235"/>
      <c r="BT144" s="235"/>
      <c r="BU144" s="235"/>
      <c r="BV144" s="254"/>
      <c r="BX144" s="235"/>
      <c r="BY144" s="235"/>
      <c r="BZ144" s="235"/>
      <c r="CA144" s="235"/>
      <c r="CB144" s="254"/>
      <c r="CC144" s="235"/>
      <c r="CD144" s="235"/>
      <c r="CE144" s="235"/>
      <c r="CF144" s="235"/>
      <c r="CG144" s="235"/>
      <c r="CH144" s="690"/>
      <c r="CJ144" s="235"/>
      <c r="CK144" s="235"/>
      <c r="CL144" s="235"/>
      <c r="CM144" s="235"/>
      <c r="CN144" s="254"/>
      <c r="CO144" s="235"/>
      <c r="CP144" s="235"/>
      <c r="CQ144" s="235"/>
      <c r="CR144" s="235"/>
      <c r="CS144" s="235"/>
      <c r="CT144" s="259"/>
    </row>
    <row r="145" spans="1:98" x14ac:dyDescent="0.25">
      <c r="A145" s="763"/>
      <c r="B145" s="292">
        <v>140</v>
      </c>
      <c r="C145" s="293" t="s">
        <v>627</v>
      </c>
      <c r="D145" s="194" t="s">
        <v>189</v>
      </c>
      <c r="E145" s="53"/>
      <c r="F145" s="22"/>
      <c r="G145" s="22"/>
      <c r="H145" s="22"/>
      <c r="I145" s="22"/>
      <c r="J145" s="22"/>
      <c r="K145" s="22"/>
      <c r="L145" s="22"/>
      <c r="M145" s="22"/>
      <c r="N145" s="54"/>
      <c r="O145" s="164"/>
      <c r="P145" s="165"/>
      <c r="Q145" s="165"/>
      <c r="R145" s="165"/>
      <c r="S145" s="37"/>
      <c r="T145" s="165"/>
      <c r="U145" s="165"/>
      <c r="V145" s="165"/>
      <c r="W145" s="165"/>
      <c r="X145" s="165"/>
      <c r="Y145" s="165"/>
      <c r="Z145" s="167"/>
      <c r="AA145" s="219"/>
      <c r="AB145" s="208"/>
      <c r="AC145" s="208"/>
      <c r="AD145" s="208"/>
      <c r="AE145" s="41"/>
      <c r="AF145" s="208"/>
      <c r="AG145" s="208"/>
      <c r="AH145" s="208"/>
      <c r="AI145" s="208"/>
      <c r="AJ145" s="208"/>
      <c r="AK145" s="208"/>
      <c r="AL145" s="223"/>
      <c r="AM145" s="243"/>
      <c r="AN145" s="235"/>
      <c r="AO145" s="235"/>
      <c r="AP145" s="235"/>
      <c r="AQ145" s="254"/>
      <c r="AR145" s="235"/>
      <c r="AS145" s="235"/>
      <c r="AT145" s="235"/>
      <c r="AU145" s="235"/>
      <c r="AV145" s="235"/>
      <c r="AW145" s="235"/>
      <c r="AX145" s="244"/>
      <c r="AY145" s="243"/>
      <c r="AZ145" s="254"/>
      <c r="BA145" s="235"/>
      <c r="BB145" s="235"/>
      <c r="BC145" s="235"/>
      <c r="BD145" s="235"/>
      <c r="BE145" s="235"/>
      <c r="BF145" s="235"/>
      <c r="BG145" s="235"/>
      <c r="BH145" s="235"/>
      <c r="BI145" s="235"/>
      <c r="BJ145" s="244"/>
      <c r="BK145" s="254"/>
      <c r="BL145" s="235"/>
      <c r="BM145" s="235"/>
      <c r="BN145" s="235"/>
      <c r="BO145" s="235"/>
      <c r="BP145" s="235"/>
      <c r="BQ145" s="235"/>
      <c r="BR145" s="235"/>
      <c r="BS145" s="235"/>
      <c r="BT145" s="235"/>
      <c r="BU145" s="235"/>
      <c r="BV145" s="254"/>
      <c r="BW145" s="235"/>
      <c r="BX145" s="235"/>
      <c r="BY145" s="235"/>
      <c r="BZ145" s="235"/>
      <c r="CA145" s="235"/>
      <c r="CB145" s="254"/>
      <c r="CC145" s="235"/>
      <c r="CD145" s="235"/>
      <c r="CE145" s="235"/>
      <c r="CF145" s="235"/>
      <c r="CG145" s="235"/>
      <c r="CH145" s="690"/>
      <c r="CI145" s="351"/>
      <c r="CJ145" s="235"/>
      <c r="CK145" s="235"/>
      <c r="CL145" s="235"/>
      <c r="CM145" s="235"/>
      <c r="CN145" s="254"/>
      <c r="CO145" s="235"/>
      <c r="CP145" s="235"/>
      <c r="CQ145" s="235"/>
      <c r="CR145" s="235"/>
      <c r="CS145" s="235"/>
      <c r="CT145" s="259"/>
    </row>
    <row r="146" spans="1:98" x14ac:dyDescent="0.25">
      <c r="A146" s="763"/>
      <c r="B146" s="292">
        <v>141</v>
      </c>
      <c r="C146" s="293" t="s">
        <v>628</v>
      </c>
      <c r="D146" s="194" t="s">
        <v>190</v>
      </c>
      <c r="E146" s="53"/>
      <c r="F146" s="22"/>
      <c r="G146" s="22"/>
      <c r="H146" s="22"/>
      <c r="I146" s="22"/>
      <c r="J146" s="22"/>
      <c r="K146" s="22"/>
      <c r="L146" s="22"/>
      <c r="M146" s="22"/>
      <c r="N146" s="54"/>
      <c r="O146" s="164"/>
      <c r="P146" s="165"/>
      <c r="Q146" s="165"/>
      <c r="R146" s="165"/>
      <c r="S146" s="37"/>
      <c r="T146" s="165"/>
      <c r="U146" s="165"/>
      <c r="V146" s="165"/>
      <c r="W146" s="165"/>
      <c r="X146" s="165"/>
      <c r="Y146" s="165"/>
      <c r="Z146" s="167"/>
      <c r="AA146" s="219"/>
      <c r="AB146" s="208"/>
      <c r="AC146" s="208"/>
      <c r="AD146" s="208"/>
      <c r="AE146" s="41"/>
      <c r="AF146" s="208"/>
      <c r="AG146" s="208"/>
      <c r="AH146" s="208"/>
      <c r="AI146" s="208"/>
      <c r="AJ146" s="208"/>
      <c r="AK146" s="208"/>
      <c r="AL146" s="223"/>
      <c r="AM146" s="243"/>
      <c r="AN146" s="235"/>
      <c r="AO146" s="235"/>
      <c r="AP146" s="235"/>
      <c r="AQ146" s="254"/>
      <c r="AR146" s="235"/>
      <c r="AS146" s="235"/>
      <c r="AT146" s="235"/>
      <c r="AU146" s="235"/>
      <c r="AV146" s="235"/>
      <c r="AW146" s="235"/>
      <c r="AX146" s="244"/>
      <c r="AY146" s="243"/>
      <c r="AZ146" s="254"/>
      <c r="BA146" s="235"/>
      <c r="BB146" s="235"/>
      <c r="BC146" s="235"/>
      <c r="BD146" s="235"/>
      <c r="BE146" s="235"/>
      <c r="BF146" s="235"/>
      <c r="BG146" s="235"/>
      <c r="BH146" s="235"/>
      <c r="BI146" s="235"/>
      <c r="BJ146" s="244"/>
      <c r="BK146" s="254"/>
      <c r="BL146" s="235"/>
      <c r="BM146" s="235"/>
      <c r="BN146" s="235"/>
      <c r="BO146" s="235"/>
      <c r="BP146" s="235"/>
      <c r="BQ146" s="235"/>
      <c r="BR146" s="235"/>
      <c r="BS146" s="235"/>
      <c r="BT146" s="235"/>
      <c r="BU146" s="235"/>
      <c r="BV146" s="254"/>
      <c r="BW146" s="235"/>
      <c r="BX146" s="235"/>
      <c r="BY146" s="235"/>
      <c r="BZ146" s="235"/>
      <c r="CA146" s="235"/>
      <c r="CB146" s="254"/>
      <c r="CC146" s="235"/>
      <c r="CD146" s="235"/>
      <c r="CE146" s="235"/>
      <c r="CF146" s="235"/>
      <c r="CG146" s="235"/>
      <c r="CH146" s="690"/>
      <c r="CI146" s="351"/>
      <c r="CJ146" s="235"/>
      <c r="CK146" s="235"/>
      <c r="CL146" s="235"/>
      <c r="CM146" s="235"/>
      <c r="CN146" s="254"/>
      <c r="CO146" s="235"/>
      <c r="CP146" s="235"/>
      <c r="CQ146" s="235"/>
      <c r="CR146" s="235"/>
      <c r="CS146" s="235"/>
      <c r="CT146" s="259"/>
    </row>
    <row r="147" spans="1:98" x14ac:dyDescent="0.25">
      <c r="A147" s="763"/>
      <c r="B147" s="292">
        <v>142</v>
      </c>
      <c r="C147" s="293" t="s">
        <v>629</v>
      </c>
      <c r="D147" s="194" t="s">
        <v>191</v>
      </c>
      <c r="E147" s="53"/>
      <c r="F147" s="22"/>
      <c r="G147" s="22"/>
      <c r="H147" s="22"/>
      <c r="I147" s="22"/>
      <c r="J147" s="22"/>
      <c r="K147" s="22"/>
      <c r="L147" s="22"/>
      <c r="M147" s="22"/>
      <c r="N147" s="54"/>
      <c r="O147" s="164"/>
      <c r="P147" s="165"/>
      <c r="Q147" s="165"/>
      <c r="R147" s="165"/>
      <c r="S147" s="37"/>
      <c r="T147" s="165"/>
      <c r="U147" s="165"/>
      <c r="V147" s="165"/>
      <c r="W147" s="165"/>
      <c r="X147" s="165"/>
      <c r="Y147" s="165"/>
      <c r="Z147" s="167"/>
      <c r="AA147" s="219"/>
      <c r="AB147" s="208"/>
      <c r="AC147" s="208"/>
      <c r="AD147" s="208"/>
      <c r="AE147" s="41"/>
      <c r="AF147" s="208"/>
      <c r="AG147" s="208"/>
      <c r="AH147" s="208"/>
      <c r="AI147" s="208"/>
      <c r="AJ147" s="208"/>
      <c r="AK147" s="208"/>
      <c r="AL147" s="223"/>
      <c r="AM147" s="243"/>
      <c r="AN147" s="235"/>
      <c r="AO147" s="235"/>
      <c r="AP147" s="235"/>
      <c r="AQ147" s="254"/>
      <c r="AR147" s="235"/>
      <c r="AS147" s="235"/>
      <c r="AT147" s="235"/>
      <c r="AU147" s="235"/>
      <c r="AV147" s="235"/>
      <c r="AW147" s="235"/>
      <c r="AX147" s="244"/>
      <c r="AY147" s="243"/>
      <c r="AZ147" s="254"/>
      <c r="BA147" s="235"/>
      <c r="BB147" s="235"/>
      <c r="BC147" s="235"/>
      <c r="BD147" s="235"/>
      <c r="BE147" s="235"/>
      <c r="BF147" s="235"/>
      <c r="BG147" s="235"/>
      <c r="BH147" s="235"/>
      <c r="BI147" s="235"/>
      <c r="BJ147" s="244"/>
      <c r="BK147" s="254"/>
      <c r="BL147" s="235"/>
      <c r="BM147" s="235"/>
      <c r="BN147" s="235"/>
      <c r="BO147" s="235"/>
      <c r="BP147" s="235"/>
      <c r="BQ147" s="235"/>
      <c r="BR147" s="235"/>
      <c r="BS147" s="235"/>
      <c r="BT147" s="235"/>
      <c r="BU147" s="235"/>
      <c r="BV147" s="254"/>
      <c r="BW147" s="235"/>
      <c r="BX147" s="235"/>
      <c r="BY147" s="235"/>
      <c r="BZ147" s="235"/>
      <c r="CA147" s="235"/>
      <c r="CB147" s="254"/>
      <c r="CC147" s="235"/>
      <c r="CD147" s="235"/>
      <c r="CE147" s="235"/>
      <c r="CF147" s="235"/>
      <c r="CG147" s="235"/>
      <c r="CH147" s="690"/>
      <c r="CI147" s="351"/>
      <c r="CJ147" s="235"/>
      <c r="CK147" s="235"/>
      <c r="CL147" s="235"/>
      <c r="CM147" s="235"/>
      <c r="CN147" s="254"/>
      <c r="CO147" s="235"/>
      <c r="CP147" s="235"/>
      <c r="CQ147" s="235"/>
      <c r="CR147" s="235"/>
      <c r="CS147" s="235"/>
      <c r="CT147" s="259"/>
    </row>
    <row r="148" spans="1:98" x14ac:dyDescent="0.25">
      <c r="A148" s="763"/>
      <c r="B148" s="292">
        <v>143</v>
      </c>
      <c r="C148" s="293" t="s">
        <v>630</v>
      </c>
      <c r="D148" s="194" t="s">
        <v>967</v>
      </c>
      <c r="E148" s="53"/>
      <c r="F148" s="22"/>
      <c r="G148" s="22"/>
      <c r="H148" s="22"/>
      <c r="I148" s="22"/>
      <c r="J148" s="22"/>
      <c r="K148" s="22"/>
      <c r="L148" s="22"/>
      <c r="M148" s="22"/>
      <c r="N148" s="54"/>
      <c r="O148" s="164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7"/>
      <c r="AA148" s="219"/>
      <c r="AB148" s="208"/>
      <c r="AC148" s="208"/>
      <c r="AD148" s="208"/>
      <c r="AE148" s="208"/>
      <c r="AF148" s="208"/>
      <c r="AG148" s="208"/>
      <c r="AH148" s="208"/>
      <c r="AI148" s="208"/>
      <c r="AJ148" s="208"/>
      <c r="AK148" s="208"/>
      <c r="AL148" s="223"/>
      <c r="AM148" s="243"/>
      <c r="AN148" s="235"/>
      <c r="AO148" s="235"/>
      <c r="AP148" s="235"/>
      <c r="AQ148" s="254"/>
      <c r="AR148" s="235"/>
      <c r="AS148" s="235"/>
      <c r="AT148" s="235"/>
      <c r="AU148" s="235"/>
      <c r="AV148" s="235"/>
      <c r="AW148" s="235"/>
      <c r="AX148" s="244"/>
      <c r="AY148" s="243"/>
      <c r="AZ148" s="254" t="s">
        <v>971</v>
      </c>
      <c r="BA148" s="235"/>
      <c r="BB148" s="235"/>
      <c r="BC148" s="235"/>
      <c r="BD148" s="235"/>
      <c r="BE148" s="235"/>
      <c r="BF148" s="235"/>
      <c r="BG148" s="235"/>
      <c r="BH148" s="235"/>
      <c r="BI148" s="235"/>
      <c r="BJ148" s="244"/>
      <c r="BK148" s="243"/>
      <c r="BL148" s="235"/>
      <c r="BM148" s="254"/>
      <c r="BN148" s="235"/>
      <c r="BO148" s="235"/>
      <c r="BP148" s="235"/>
      <c r="BQ148" s="235"/>
      <c r="BR148" s="235"/>
      <c r="BS148" s="235"/>
      <c r="BT148" s="235"/>
      <c r="BU148" s="235"/>
      <c r="BV148" s="244"/>
      <c r="BW148" s="235"/>
      <c r="BX148" s="235"/>
      <c r="BY148" s="254"/>
      <c r="BZ148" s="235"/>
      <c r="CA148" s="235"/>
      <c r="CB148" s="235"/>
      <c r="CC148" s="235"/>
      <c r="CD148" s="235"/>
      <c r="CE148" s="235"/>
      <c r="CF148" s="235"/>
      <c r="CG148" s="235"/>
      <c r="CH148" s="244"/>
      <c r="CI148" s="351"/>
      <c r="CJ148" s="235"/>
      <c r="CK148" s="254"/>
      <c r="CL148" s="235"/>
      <c r="CM148" s="235"/>
      <c r="CN148" s="235"/>
      <c r="CO148" s="235"/>
      <c r="CP148" s="235"/>
      <c r="CQ148" s="235"/>
      <c r="CR148" s="235"/>
      <c r="CS148" s="235"/>
      <c r="CT148" s="235"/>
    </row>
    <row r="149" spans="1:98" x14ac:dyDescent="0.25">
      <c r="A149" s="763"/>
      <c r="B149" s="292">
        <v>144</v>
      </c>
      <c r="C149" s="293" t="s">
        <v>631</v>
      </c>
      <c r="D149" s="194" t="s">
        <v>968</v>
      </c>
      <c r="E149" s="53"/>
      <c r="F149" s="22"/>
      <c r="G149" s="22"/>
      <c r="H149" s="22"/>
      <c r="I149" s="22"/>
      <c r="J149" s="22"/>
      <c r="K149" s="22"/>
      <c r="L149" s="22"/>
      <c r="M149" s="22"/>
      <c r="N149" s="54"/>
      <c r="O149" s="164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7"/>
      <c r="AA149" s="219"/>
      <c r="AB149" s="208"/>
      <c r="AC149" s="208"/>
      <c r="AD149" s="208"/>
      <c r="AE149" s="208"/>
      <c r="AF149" s="208"/>
      <c r="AG149" s="208"/>
      <c r="AH149" s="208"/>
      <c r="AI149" s="208"/>
      <c r="AJ149" s="208"/>
      <c r="AK149" s="208"/>
      <c r="AL149" s="223"/>
      <c r="AM149" s="243"/>
      <c r="AN149" s="235"/>
      <c r="AO149" s="235"/>
      <c r="AP149" s="235"/>
      <c r="AQ149" s="254"/>
      <c r="AR149" s="235"/>
      <c r="AS149" s="235"/>
      <c r="AT149" s="235"/>
      <c r="AU149" s="235"/>
      <c r="AV149" s="235"/>
      <c r="AW149" s="235"/>
      <c r="AX149" s="244"/>
      <c r="AY149" s="243"/>
      <c r="AZ149" s="254" t="s">
        <v>971</v>
      </c>
      <c r="BA149" s="235"/>
      <c r="BB149" s="235"/>
      <c r="BC149" s="235"/>
      <c r="BD149" s="235"/>
      <c r="BE149" s="235"/>
      <c r="BF149" s="235"/>
      <c r="BG149" s="235"/>
      <c r="BH149" s="235"/>
      <c r="BI149" s="235"/>
      <c r="BJ149" s="244"/>
      <c r="BK149" s="243"/>
      <c r="BL149" s="235"/>
      <c r="BM149" s="254"/>
      <c r="BN149" s="235"/>
      <c r="BO149" s="235"/>
      <c r="BP149" s="235"/>
      <c r="BQ149" s="235"/>
      <c r="BR149" s="235"/>
      <c r="BS149" s="235"/>
      <c r="BT149" s="235"/>
      <c r="BU149" s="235"/>
      <c r="BV149" s="244"/>
      <c r="BW149" s="235"/>
      <c r="BX149" s="235"/>
      <c r="BY149" s="254"/>
      <c r="BZ149" s="235"/>
      <c r="CA149" s="235"/>
      <c r="CB149" s="235"/>
      <c r="CC149" s="235"/>
      <c r="CD149" s="235"/>
      <c r="CE149" s="235"/>
      <c r="CF149" s="235"/>
      <c r="CG149" s="235"/>
      <c r="CH149" s="244"/>
      <c r="CI149" s="351"/>
      <c r="CJ149" s="235"/>
      <c r="CK149" s="254"/>
      <c r="CL149" s="235"/>
      <c r="CM149" s="235"/>
      <c r="CN149" s="235"/>
      <c r="CO149" s="235"/>
      <c r="CP149" s="235"/>
      <c r="CQ149" s="235"/>
      <c r="CR149" s="235"/>
      <c r="CS149" s="235"/>
      <c r="CT149" s="235"/>
    </row>
    <row r="150" spans="1:98" x14ac:dyDescent="0.25">
      <c r="A150" s="763"/>
      <c r="B150" s="292">
        <v>145</v>
      </c>
      <c r="C150" s="293" t="s">
        <v>632</v>
      </c>
      <c r="D150" s="194" t="s">
        <v>969</v>
      </c>
      <c r="E150" s="53"/>
      <c r="F150" s="22"/>
      <c r="G150" s="22"/>
      <c r="H150" s="22"/>
      <c r="I150" s="22"/>
      <c r="J150" s="22"/>
      <c r="K150" s="22"/>
      <c r="L150" s="22"/>
      <c r="M150" s="22"/>
      <c r="N150" s="54"/>
      <c r="O150" s="164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7"/>
      <c r="AA150" s="219"/>
      <c r="AB150" s="208"/>
      <c r="AC150" s="208"/>
      <c r="AD150" s="208"/>
      <c r="AE150" s="208"/>
      <c r="AF150" s="208"/>
      <c r="AG150" s="208"/>
      <c r="AH150" s="208"/>
      <c r="AI150" s="208"/>
      <c r="AJ150" s="208"/>
      <c r="AK150" s="208"/>
      <c r="AL150" s="223"/>
      <c r="AM150" s="243"/>
      <c r="AN150" s="235"/>
      <c r="AO150" s="235"/>
      <c r="AP150" s="235"/>
      <c r="AQ150" s="254"/>
      <c r="AR150" s="235"/>
      <c r="AS150" s="235"/>
      <c r="AT150" s="235"/>
      <c r="AU150" s="235"/>
      <c r="AV150" s="235"/>
      <c r="AW150" s="235"/>
      <c r="AX150" s="244"/>
      <c r="AY150" s="243"/>
      <c r="AZ150" s="254" t="s">
        <v>971</v>
      </c>
      <c r="BA150" s="235"/>
      <c r="BB150" s="235"/>
      <c r="BC150" s="235"/>
      <c r="BD150" s="235"/>
      <c r="BE150" s="235"/>
      <c r="BF150" s="235"/>
      <c r="BG150" s="235"/>
      <c r="BH150" s="235"/>
      <c r="BI150" s="235"/>
      <c r="BJ150" s="244"/>
      <c r="BK150" s="243"/>
      <c r="BL150" s="235"/>
      <c r="BM150" s="254"/>
      <c r="BN150" s="235"/>
      <c r="BO150" s="235"/>
      <c r="BP150" s="254" t="s">
        <v>1092</v>
      </c>
      <c r="BQ150" s="235"/>
      <c r="BR150" s="235"/>
      <c r="BS150" s="235"/>
      <c r="BT150" s="235"/>
      <c r="BU150" s="235"/>
      <c r="BV150" s="244"/>
      <c r="BW150" s="235"/>
      <c r="BX150" s="235"/>
      <c r="BY150" s="254"/>
      <c r="BZ150" s="235"/>
      <c r="CA150" s="235"/>
      <c r="CB150" s="235"/>
      <c r="CC150" s="235"/>
      <c r="CD150" s="235"/>
      <c r="CE150" s="235"/>
      <c r="CF150" s="235"/>
      <c r="CG150" s="235"/>
      <c r="CH150" s="244"/>
      <c r="CI150" s="351"/>
      <c r="CJ150" s="235"/>
      <c r="CK150" s="254"/>
      <c r="CL150" s="235"/>
      <c r="CM150" s="235"/>
      <c r="CN150" s="235"/>
      <c r="CO150" s="235"/>
      <c r="CP150" s="235"/>
      <c r="CQ150" s="235"/>
      <c r="CR150" s="235"/>
      <c r="CS150" s="235"/>
      <c r="CT150" s="235"/>
    </row>
    <row r="151" spans="1:98" x14ac:dyDescent="0.25">
      <c r="A151" s="763"/>
      <c r="B151" s="292">
        <v>146</v>
      </c>
      <c r="C151" s="293" t="s">
        <v>633</v>
      </c>
      <c r="D151" s="194" t="s">
        <v>970</v>
      </c>
      <c r="E151" s="53"/>
      <c r="F151" s="22"/>
      <c r="G151" s="22"/>
      <c r="H151" s="22"/>
      <c r="I151" s="22"/>
      <c r="J151" s="22"/>
      <c r="K151" s="22"/>
      <c r="L151" s="22"/>
      <c r="M151" s="22"/>
      <c r="N151" s="54"/>
      <c r="O151" s="164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7"/>
      <c r="AA151" s="219"/>
      <c r="AB151" s="208"/>
      <c r="AC151" s="208"/>
      <c r="AD151" s="208"/>
      <c r="AE151" s="208"/>
      <c r="AF151" s="208"/>
      <c r="AG151" s="208"/>
      <c r="AH151" s="208"/>
      <c r="AI151" s="208"/>
      <c r="AJ151" s="208"/>
      <c r="AK151" s="208"/>
      <c r="AL151" s="223"/>
      <c r="AM151" s="243"/>
      <c r="AN151" s="235"/>
      <c r="AO151" s="235"/>
      <c r="AP151" s="235"/>
      <c r="AQ151" s="254"/>
      <c r="AR151" s="235"/>
      <c r="AS151" s="235"/>
      <c r="AT151" s="235"/>
      <c r="AU151" s="235"/>
      <c r="AV151" s="235"/>
      <c r="AW151" s="235"/>
      <c r="AX151" s="244"/>
      <c r="AY151" s="243"/>
      <c r="AZ151" s="254" t="s">
        <v>971</v>
      </c>
      <c r="BA151" s="235"/>
      <c r="BB151" s="235"/>
      <c r="BC151" s="235"/>
      <c r="BD151" s="235"/>
      <c r="BE151" s="235"/>
      <c r="BF151" s="235"/>
      <c r="BG151" s="235"/>
      <c r="BH151" s="235"/>
      <c r="BI151" s="235"/>
      <c r="BJ151" s="244"/>
      <c r="BK151" s="243"/>
      <c r="BL151" s="235"/>
      <c r="BM151" s="254"/>
      <c r="BN151" s="235"/>
      <c r="BO151" s="235"/>
      <c r="BP151" s="235"/>
      <c r="BQ151" s="254" t="s">
        <v>1044</v>
      </c>
      <c r="BR151" s="235"/>
      <c r="BS151" s="235"/>
      <c r="BT151" s="235"/>
      <c r="BU151" s="235"/>
      <c r="BV151" s="244"/>
      <c r="BW151" s="235"/>
      <c r="BX151" s="235"/>
      <c r="BY151" s="254"/>
      <c r="BZ151" s="235"/>
      <c r="CA151" s="235"/>
      <c r="CB151" s="235"/>
      <c r="CC151" s="235"/>
      <c r="CD151" s="235"/>
      <c r="CE151" s="235"/>
      <c r="CF151" s="235"/>
      <c r="CG151" s="235"/>
      <c r="CH151" s="244"/>
      <c r="CI151" s="351"/>
      <c r="CJ151" s="235"/>
      <c r="CK151" s="254"/>
      <c r="CL151" s="235"/>
      <c r="CM151" s="235"/>
      <c r="CN151" s="235"/>
      <c r="CO151" s="235"/>
      <c r="CP151" s="235"/>
      <c r="CQ151" s="235"/>
      <c r="CR151" s="235"/>
      <c r="CS151" s="235"/>
      <c r="CT151" s="235"/>
    </row>
    <row r="152" spans="1:98" x14ac:dyDescent="0.25">
      <c r="A152" s="763"/>
      <c r="B152" s="292">
        <v>147</v>
      </c>
      <c r="C152" s="293" t="s">
        <v>634</v>
      </c>
      <c r="D152" s="194" t="s">
        <v>450</v>
      </c>
      <c r="E152" s="53"/>
      <c r="F152" s="22"/>
      <c r="G152" s="22"/>
      <c r="H152" s="22"/>
      <c r="I152" s="22"/>
      <c r="J152" s="22"/>
      <c r="K152" s="22"/>
      <c r="L152" s="22"/>
      <c r="M152" s="22"/>
      <c r="N152" s="54"/>
      <c r="O152" s="164"/>
      <c r="P152" s="37"/>
      <c r="Q152" s="165"/>
      <c r="R152" s="165"/>
      <c r="S152" s="165"/>
      <c r="T152" s="165"/>
      <c r="U152" s="165"/>
      <c r="V152" s="165"/>
      <c r="W152" s="165"/>
      <c r="X152" s="165"/>
      <c r="Y152" s="165"/>
      <c r="Z152" s="167"/>
      <c r="AA152" s="219"/>
      <c r="AB152" s="208"/>
      <c r="AC152" s="41"/>
      <c r="AD152" s="208"/>
      <c r="AE152" s="208"/>
      <c r="AF152" s="208"/>
      <c r="AG152" s="208"/>
      <c r="AH152" s="208"/>
      <c r="AI152" s="208"/>
      <c r="AJ152" s="208"/>
      <c r="AK152" s="208"/>
      <c r="AL152" s="223"/>
      <c r="AM152" s="243"/>
      <c r="AN152" s="235"/>
      <c r="AO152" s="254"/>
      <c r="AP152" s="235"/>
      <c r="AQ152" s="235"/>
      <c r="AR152" s="235"/>
      <c r="AS152" s="235"/>
      <c r="AT152" s="235"/>
      <c r="AU152" s="235"/>
      <c r="AV152" s="235"/>
      <c r="AW152" s="235"/>
      <c r="AX152" s="244"/>
      <c r="AY152" s="243"/>
      <c r="AZ152" s="235"/>
      <c r="BA152" s="235"/>
      <c r="BC152" s="235"/>
      <c r="BD152" s="235"/>
      <c r="BE152" s="235"/>
      <c r="BF152" s="235"/>
      <c r="BG152" s="235"/>
      <c r="BH152" s="235"/>
      <c r="BJ152" s="244"/>
      <c r="BL152" s="254"/>
      <c r="BM152" s="254"/>
      <c r="BN152" s="235"/>
      <c r="BO152" s="235"/>
      <c r="BP152" s="235"/>
      <c r="BQ152" s="235"/>
      <c r="BR152" s="235"/>
      <c r="BS152" s="235"/>
      <c r="BT152" s="235"/>
      <c r="BU152" s="235"/>
      <c r="BV152" s="244"/>
      <c r="BW152" s="235"/>
      <c r="BX152" s="235"/>
      <c r="BY152" s="259"/>
      <c r="BZ152" s="254"/>
      <c r="CA152" s="235"/>
      <c r="CB152" s="235"/>
      <c r="CC152" s="235"/>
      <c r="CD152" s="235"/>
      <c r="CE152" s="235"/>
      <c r="CF152" s="235"/>
      <c r="CG152" s="235"/>
      <c r="CH152" s="244"/>
      <c r="CI152" s="351"/>
      <c r="CJ152" s="235"/>
      <c r="CK152" s="259"/>
      <c r="CL152" s="254"/>
      <c r="CM152" s="235"/>
      <c r="CN152" s="235"/>
      <c r="CO152" s="235"/>
      <c r="CP152" s="235"/>
      <c r="CQ152" s="235"/>
      <c r="CR152" s="235"/>
      <c r="CS152" s="235"/>
      <c r="CT152" s="235"/>
    </row>
    <row r="153" spans="1:98" x14ac:dyDescent="0.25">
      <c r="A153" s="763"/>
      <c r="B153" s="292">
        <v>148</v>
      </c>
      <c r="C153" s="293" t="s">
        <v>635</v>
      </c>
      <c r="D153" s="194" t="s">
        <v>172</v>
      </c>
      <c r="E153" s="53"/>
      <c r="F153" s="22"/>
      <c r="G153" s="22"/>
      <c r="H153" s="22"/>
      <c r="I153" s="22"/>
      <c r="J153" s="22"/>
      <c r="K153" s="22"/>
      <c r="L153" s="22"/>
      <c r="M153" s="22"/>
      <c r="N153" s="54"/>
      <c r="O153" s="164"/>
      <c r="P153" s="165"/>
      <c r="Q153" s="37"/>
      <c r="R153" s="37"/>
      <c r="S153" s="165"/>
      <c r="T153" s="165"/>
      <c r="U153" s="165"/>
      <c r="V153" s="165"/>
      <c r="W153" s="165"/>
      <c r="X153" s="165"/>
      <c r="Y153" s="165"/>
      <c r="Z153" s="167"/>
      <c r="AA153" s="219"/>
      <c r="AB153" s="41"/>
      <c r="AC153" s="41"/>
      <c r="AD153" s="208"/>
      <c r="AE153" s="208"/>
      <c r="AF153" s="208"/>
      <c r="AG153" s="208"/>
      <c r="AH153" s="208"/>
      <c r="AI153" s="208"/>
      <c r="AJ153" s="208"/>
      <c r="AK153" s="208"/>
      <c r="AL153" s="223"/>
      <c r="AM153" s="243"/>
      <c r="AP153" s="254"/>
      <c r="AQ153" s="235"/>
      <c r="AR153" s="235"/>
      <c r="AS153" s="235"/>
      <c r="AT153" s="235"/>
      <c r="AU153" s="235"/>
      <c r="AV153" s="235"/>
      <c r="AW153" s="235"/>
      <c r="AX153" s="244"/>
      <c r="AY153" s="243"/>
      <c r="AZ153" s="345"/>
      <c r="BA153" s="124"/>
      <c r="BB153" s="235"/>
      <c r="BC153" s="235"/>
      <c r="BD153" s="235"/>
      <c r="BE153" s="235"/>
      <c r="BF153" s="235"/>
      <c r="BG153" s="235"/>
      <c r="BH153" s="235"/>
      <c r="BI153" s="235"/>
      <c r="BJ153" s="244"/>
      <c r="BK153" s="243"/>
      <c r="BL153" s="345"/>
      <c r="BM153" s="124"/>
      <c r="BN153" s="235"/>
      <c r="BO153" s="235"/>
      <c r="BP153" s="235"/>
      <c r="BQ153" s="235"/>
      <c r="BR153" s="235"/>
      <c r="BS153" s="235"/>
      <c r="BT153" s="235"/>
      <c r="BU153" s="235"/>
      <c r="BV153" s="244"/>
      <c r="BW153" s="235"/>
      <c r="BX153" s="235"/>
      <c r="BY153" s="259"/>
      <c r="BZ153" s="683"/>
      <c r="CA153" s="235"/>
      <c r="CB153" s="235"/>
      <c r="CC153" s="235"/>
      <c r="CD153" s="235"/>
      <c r="CE153" s="235"/>
      <c r="CF153" s="235"/>
      <c r="CG153" s="235"/>
      <c r="CH153" s="244"/>
      <c r="CI153" s="351"/>
      <c r="CJ153" s="235"/>
      <c r="CK153" s="259"/>
      <c r="CL153" s="683"/>
      <c r="CM153" s="235"/>
      <c r="CN153" s="235"/>
      <c r="CO153" s="235"/>
      <c r="CP153" s="235"/>
      <c r="CQ153" s="235"/>
      <c r="CR153" s="235"/>
      <c r="CS153" s="235"/>
      <c r="CT153" s="235"/>
    </row>
    <row r="154" spans="1:98" x14ac:dyDescent="0.25">
      <c r="A154" s="763"/>
      <c r="B154" s="292">
        <v>149</v>
      </c>
      <c r="C154" s="293" t="s">
        <v>636</v>
      </c>
      <c r="D154" s="194" t="s">
        <v>451</v>
      </c>
      <c r="E154" s="53"/>
      <c r="F154" s="22"/>
      <c r="G154" s="22"/>
      <c r="H154" s="22"/>
      <c r="I154" s="22"/>
      <c r="J154" s="22"/>
      <c r="K154" s="22"/>
      <c r="L154" s="22"/>
      <c r="M154" s="22"/>
      <c r="N154" s="54"/>
      <c r="O154" s="164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7"/>
      <c r="AA154" s="219"/>
      <c r="AB154" s="256"/>
      <c r="AC154" s="208"/>
      <c r="AD154" s="208"/>
      <c r="AE154" s="208"/>
      <c r="AF154" s="208"/>
      <c r="AG154" s="208"/>
      <c r="AH154" s="208"/>
      <c r="AI154" s="208"/>
      <c r="AJ154" s="208"/>
      <c r="AK154" s="208"/>
      <c r="AL154" s="223"/>
      <c r="AM154" s="243"/>
      <c r="AN154" s="235"/>
      <c r="AO154" s="254"/>
      <c r="AP154" s="235"/>
      <c r="AQ154" s="235"/>
      <c r="AR154" s="235"/>
      <c r="AS154" s="235"/>
      <c r="AT154" s="235"/>
      <c r="AU154" s="235"/>
      <c r="AV154" s="235"/>
      <c r="AW154" s="235"/>
      <c r="AX154" s="244"/>
      <c r="AY154" s="243"/>
      <c r="AZ154" s="254"/>
      <c r="BA154" s="235"/>
      <c r="BB154" s="235"/>
      <c r="BC154" s="235"/>
      <c r="BD154" s="235"/>
      <c r="BE154" s="235"/>
      <c r="BF154" s="235"/>
      <c r="BG154" s="235"/>
      <c r="BH154" s="235"/>
      <c r="BI154" s="235"/>
      <c r="BJ154" s="244"/>
      <c r="BK154" s="243"/>
      <c r="BL154" s="235"/>
      <c r="BM154" s="254"/>
      <c r="BN154" s="235"/>
      <c r="BO154" s="235"/>
      <c r="BP154" s="235"/>
      <c r="BQ154" s="235"/>
      <c r="BR154" s="235"/>
      <c r="BS154" s="235"/>
      <c r="BT154" s="235"/>
      <c r="BU154" s="235"/>
      <c r="BV154" s="244"/>
      <c r="BX154" s="254"/>
      <c r="BY154" s="235"/>
      <c r="BZ154" s="235"/>
      <c r="CA154" s="235"/>
      <c r="CB154" s="235"/>
      <c r="CC154" s="235"/>
      <c r="CD154" s="235"/>
      <c r="CE154" s="235"/>
      <c r="CF154" s="235"/>
      <c r="CG154" s="235"/>
      <c r="CH154" s="244"/>
      <c r="CJ154" s="233"/>
      <c r="CK154" s="235"/>
      <c r="CL154" s="235"/>
      <c r="CM154" s="235"/>
      <c r="CN154" s="235"/>
      <c r="CO154" s="235"/>
      <c r="CP154" s="235"/>
      <c r="CQ154" s="235"/>
      <c r="CR154" s="235"/>
      <c r="CS154" s="235"/>
      <c r="CT154" s="235"/>
    </row>
    <row r="155" spans="1:98" x14ac:dyDescent="0.25">
      <c r="A155" s="763"/>
      <c r="B155" s="292">
        <v>150</v>
      </c>
      <c r="C155" s="293" t="s">
        <v>637</v>
      </c>
      <c r="D155" s="194" t="s">
        <v>401</v>
      </c>
      <c r="E155" s="53"/>
      <c r="F155" s="22"/>
      <c r="G155" s="22"/>
      <c r="H155" s="22"/>
      <c r="I155" s="22"/>
      <c r="J155" s="22"/>
      <c r="K155" s="22"/>
      <c r="L155" s="22"/>
      <c r="M155" s="22"/>
      <c r="N155" s="54"/>
      <c r="O155" s="164"/>
      <c r="P155" s="165"/>
      <c r="Q155" s="37"/>
      <c r="R155" s="165"/>
      <c r="S155" s="165"/>
      <c r="T155" s="165"/>
      <c r="U155" s="165"/>
      <c r="V155" s="165"/>
      <c r="W155" s="165"/>
      <c r="X155" s="165"/>
      <c r="Y155" s="165"/>
      <c r="Z155" s="167"/>
      <c r="AA155" s="219"/>
      <c r="AB155" s="41"/>
      <c r="AC155" s="208"/>
      <c r="AD155" s="208"/>
      <c r="AE155" s="208"/>
      <c r="AF155" s="208"/>
      <c r="AG155" s="208"/>
      <c r="AH155" s="208"/>
      <c r="AI155" s="208"/>
      <c r="AJ155" s="208"/>
      <c r="AK155" s="208"/>
      <c r="AL155" s="223"/>
      <c r="AM155" s="243"/>
      <c r="AN155" s="235"/>
      <c r="AP155" s="254"/>
      <c r="AQ155" s="235"/>
      <c r="AR155" s="235"/>
      <c r="AS155" s="235"/>
      <c r="AT155" s="235"/>
      <c r="AU155" s="235"/>
      <c r="AV155" s="235"/>
      <c r="AW155" s="235"/>
      <c r="AX155" s="244"/>
      <c r="AY155" s="243"/>
      <c r="AZ155" s="235"/>
      <c r="BA155" s="124"/>
      <c r="BB155" s="235"/>
      <c r="BC155" s="235"/>
      <c r="BD155" s="235"/>
      <c r="BE155" s="235"/>
      <c r="BF155" s="235"/>
      <c r="BG155" s="235"/>
      <c r="BH155" s="235"/>
      <c r="BI155" s="235"/>
      <c r="BJ155" s="244"/>
      <c r="BK155" s="243"/>
      <c r="BL155" s="235"/>
      <c r="BN155" s="235"/>
      <c r="BO155" s="235"/>
      <c r="BP155" s="235"/>
      <c r="BQ155" s="235"/>
      <c r="BR155" s="235"/>
      <c r="BT155" s="124"/>
      <c r="BU155" s="235"/>
      <c r="BV155" s="244"/>
      <c r="BW155" s="235"/>
      <c r="BX155" s="235"/>
      <c r="BY155" s="235"/>
      <c r="BZ155" s="235"/>
      <c r="CA155" s="235"/>
      <c r="CB155" s="235"/>
      <c r="CC155" s="235"/>
      <c r="CD155" s="259"/>
      <c r="CE155" s="235"/>
      <c r="CF155" s="235"/>
      <c r="CG155" s="254"/>
      <c r="CH155" s="244"/>
      <c r="CI155" s="351"/>
      <c r="CJ155" s="235"/>
      <c r="CK155" s="235"/>
      <c r="CL155" s="235"/>
      <c r="CM155" s="235"/>
      <c r="CN155" s="235"/>
      <c r="CO155" s="235"/>
      <c r="CP155" s="233"/>
      <c r="CQ155" s="235"/>
      <c r="CR155" s="235"/>
      <c r="CS155" s="235"/>
      <c r="CT155" s="235"/>
    </row>
    <row r="156" spans="1:98" x14ac:dyDescent="0.25">
      <c r="A156" s="763"/>
      <c r="B156" s="292">
        <v>151</v>
      </c>
      <c r="C156" s="293" t="s">
        <v>638</v>
      </c>
      <c r="D156" s="194" t="s">
        <v>194</v>
      </c>
      <c r="E156" s="53"/>
      <c r="F156" s="22"/>
      <c r="G156" s="22"/>
      <c r="H156" s="22"/>
      <c r="I156" s="22"/>
      <c r="J156" s="22"/>
      <c r="K156" s="22"/>
      <c r="L156" s="22"/>
      <c r="M156" s="22"/>
      <c r="N156" s="54"/>
      <c r="O156" s="43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7"/>
      <c r="AA156" s="219"/>
      <c r="AB156" s="41"/>
      <c r="AC156" s="208"/>
      <c r="AD156" s="208"/>
      <c r="AE156" s="208"/>
      <c r="AF156" s="208"/>
      <c r="AG156" s="208"/>
      <c r="AH156" s="208"/>
      <c r="AI156" s="208"/>
      <c r="AJ156" s="208"/>
      <c r="AK156" s="208"/>
      <c r="AL156" s="223"/>
      <c r="AM156" s="243"/>
      <c r="AN156" s="235"/>
      <c r="AO156" s="254"/>
      <c r="AP156" s="235"/>
      <c r="AQ156" s="235"/>
      <c r="AR156" s="235"/>
      <c r="AS156" s="235"/>
      <c r="AT156" s="235"/>
      <c r="AU156" s="235"/>
      <c r="AV156" s="235"/>
      <c r="AW156" s="235"/>
      <c r="AX156" s="244"/>
      <c r="AY156" s="243"/>
      <c r="AZ156" s="254"/>
      <c r="BA156" s="235"/>
      <c r="BB156" s="235"/>
      <c r="BC156" s="235"/>
      <c r="BD156" s="235"/>
      <c r="BE156" s="235"/>
      <c r="BF156" s="235"/>
      <c r="BG156" s="235"/>
      <c r="BH156" s="235"/>
      <c r="BI156" s="235"/>
      <c r="BJ156" s="244"/>
      <c r="BK156" s="243"/>
      <c r="BL156" s="235"/>
      <c r="BM156" s="254"/>
      <c r="BN156" s="235"/>
      <c r="BO156" s="235"/>
      <c r="BP156" s="235"/>
      <c r="BQ156" s="235"/>
      <c r="BR156" s="235"/>
      <c r="BS156" s="235"/>
      <c r="BT156" s="235"/>
      <c r="BU156" s="254"/>
      <c r="BV156" s="244"/>
      <c r="BW156" s="235"/>
      <c r="BX156" s="235"/>
      <c r="BZ156" s="235"/>
      <c r="CA156" s="235"/>
      <c r="CB156" s="254"/>
      <c r="CC156" s="235"/>
      <c r="CD156" s="235"/>
      <c r="CF156" s="235"/>
      <c r="CG156" s="235"/>
      <c r="CH156" s="244"/>
      <c r="CI156" s="351"/>
      <c r="CJ156" s="235"/>
      <c r="CL156" s="235"/>
      <c r="CM156" s="235"/>
      <c r="CN156" s="233"/>
      <c r="CO156" s="235"/>
      <c r="CP156" s="235"/>
      <c r="CR156" s="235"/>
      <c r="CS156" s="235"/>
      <c r="CT156" s="235"/>
    </row>
    <row r="157" spans="1:98" x14ac:dyDescent="0.25">
      <c r="A157" s="763"/>
      <c r="B157" s="292">
        <v>152</v>
      </c>
      <c r="C157" s="293" t="s">
        <v>639</v>
      </c>
      <c r="D157" s="194" t="s">
        <v>453</v>
      </c>
      <c r="E157" s="187"/>
      <c r="F157" s="188"/>
      <c r="G157" s="188"/>
      <c r="H157" s="188"/>
      <c r="I157" s="188"/>
      <c r="J157" s="188"/>
      <c r="K157" s="188"/>
      <c r="L157" s="188"/>
      <c r="M157" s="188"/>
      <c r="N157" s="189"/>
      <c r="O157" s="190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91"/>
      <c r="AA157" s="219"/>
      <c r="AB157" s="208"/>
      <c r="AC157" s="208"/>
      <c r="AD157" s="208"/>
      <c r="AE157" s="208"/>
      <c r="AF157" s="208"/>
      <c r="AG157" s="208"/>
      <c r="AH157" s="208"/>
      <c r="AI157" s="208"/>
      <c r="AJ157" s="208"/>
      <c r="AK157" s="208"/>
      <c r="AL157" s="223"/>
      <c r="AM157" s="243"/>
      <c r="AN157" s="235"/>
      <c r="AO157" s="235"/>
      <c r="AQ157" s="254"/>
      <c r="AR157" s="235"/>
      <c r="AS157" s="235"/>
      <c r="AT157" s="235"/>
      <c r="AU157" s="235"/>
      <c r="AV157" s="235"/>
      <c r="AW157" s="235"/>
      <c r="AX157" s="244"/>
      <c r="AY157" s="243"/>
      <c r="AZ157" s="235"/>
      <c r="BA157" s="235"/>
      <c r="BB157" s="124"/>
      <c r="BC157" s="235"/>
      <c r="BD157" s="235"/>
      <c r="BE157" s="235"/>
      <c r="BF157" s="235"/>
      <c r="BG157" s="235"/>
      <c r="BH157" s="235"/>
      <c r="BI157" s="235"/>
      <c r="BJ157" s="244"/>
      <c r="BK157" s="243"/>
      <c r="BL157" s="235"/>
      <c r="BM157" s="254"/>
      <c r="BN157" s="345"/>
      <c r="BO157" s="235"/>
      <c r="BP157" s="235"/>
      <c r="BQ157" s="235"/>
      <c r="BR157" s="235"/>
      <c r="BS157" s="235"/>
      <c r="BT157" s="235"/>
      <c r="BU157" s="235"/>
      <c r="BV157" s="244"/>
      <c r="BW157" s="235"/>
      <c r="BX157" s="235"/>
      <c r="BY157" s="235"/>
      <c r="BZ157" s="254"/>
      <c r="CA157" s="235"/>
      <c r="CB157" s="235"/>
      <c r="CC157" s="235"/>
      <c r="CD157" s="235"/>
      <c r="CE157" s="235"/>
      <c r="CF157" s="235"/>
      <c r="CG157" s="235"/>
      <c r="CH157" s="244"/>
      <c r="CI157" s="351"/>
      <c r="CJ157" s="235"/>
      <c r="CK157" s="235"/>
      <c r="CL157" s="233"/>
      <c r="CM157" s="235"/>
      <c r="CN157" s="235"/>
      <c r="CO157" s="235"/>
      <c r="CP157" s="235"/>
      <c r="CQ157" s="235"/>
      <c r="CR157" s="235"/>
      <c r="CS157" s="235"/>
      <c r="CT157" s="235"/>
    </row>
    <row r="158" spans="1:98" x14ac:dyDescent="0.25">
      <c r="A158" s="763"/>
      <c r="B158" s="292">
        <v>153</v>
      </c>
      <c r="C158" s="293" t="s">
        <v>640</v>
      </c>
      <c r="D158" s="194" t="s">
        <v>454</v>
      </c>
      <c r="E158" s="187"/>
      <c r="F158" s="188"/>
      <c r="G158" s="188"/>
      <c r="H158" s="188"/>
      <c r="I158" s="188"/>
      <c r="J158" s="188"/>
      <c r="K158" s="188"/>
      <c r="L158" s="188"/>
      <c r="M158" s="188"/>
      <c r="N158" s="189"/>
      <c r="O158" s="190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91"/>
      <c r="AA158" s="219"/>
      <c r="AB158" s="208"/>
      <c r="AC158" s="208"/>
      <c r="AD158" s="208"/>
      <c r="AE158" s="208"/>
      <c r="AF158" s="208"/>
      <c r="AG158" s="208"/>
      <c r="AH158" s="208"/>
      <c r="AI158" s="208"/>
      <c r="AJ158" s="208"/>
      <c r="AK158" s="208"/>
      <c r="AL158" s="223"/>
      <c r="AM158" s="243"/>
      <c r="AN158" s="235"/>
      <c r="AO158" s="235"/>
      <c r="AP158" s="254"/>
      <c r="AQ158" s="235"/>
      <c r="AR158" s="235"/>
      <c r="AS158" s="235"/>
      <c r="AT158" s="235"/>
      <c r="AU158" s="235"/>
      <c r="AV158" s="235"/>
      <c r="AW158" s="235"/>
      <c r="AX158" s="244"/>
      <c r="AY158" s="243"/>
      <c r="AZ158" s="235"/>
      <c r="BA158" s="254"/>
      <c r="BB158" s="235"/>
      <c r="BC158" s="235"/>
      <c r="BD158" s="235"/>
      <c r="BE158" s="235"/>
      <c r="BF158" s="235"/>
      <c r="BG158" s="235"/>
      <c r="BH158" s="235"/>
      <c r="BI158" s="235"/>
      <c r="BJ158" s="244"/>
      <c r="BK158" s="254"/>
      <c r="BL158" s="235"/>
      <c r="BN158" s="235"/>
      <c r="BO158" s="235"/>
      <c r="BP158" s="235"/>
      <c r="BQ158" s="235"/>
      <c r="BR158" s="235"/>
      <c r="BS158" s="235"/>
      <c r="BT158" s="235"/>
      <c r="BU158" s="235"/>
      <c r="BV158" s="244"/>
      <c r="BW158" s="254"/>
      <c r="BX158" s="235"/>
      <c r="BY158" s="235"/>
      <c r="BZ158" s="235"/>
      <c r="CA158" s="235"/>
      <c r="CB158" s="235"/>
      <c r="CC158" s="235"/>
      <c r="CE158" s="235"/>
      <c r="CF158" s="235"/>
      <c r="CG158" s="235"/>
      <c r="CH158" s="244"/>
      <c r="CI158" s="708"/>
      <c r="CJ158" s="235"/>
      <c r="CK158" s="235"/>
      <c r="CL158" s="235"/>
      <c r="CM158" s="235"/>
      <c r="CN158" s="235"/>
      <c r="CO158" s="235"/>
      <c r="CQ158" s="235"/>
      <c r="CR158" s="235"/>
      <c r="CS158" s="235"/>
      <c r="CT158" s="235"/>
    </row>
    <row r="159" spans="1:98" ht="15.75" thickBot="1" x14ac:dyDescent="0.3">
      <c r="A159" s="763"/>
      <c r="B159" s="292">
        <v>154</v>
      </c>
      <c r="C159" s="293" t="s">
        <v>641</v>
      </c>
      <c r="D159" s="193" t="s">
        <v>452</v>
      </c>
      <c r="E159" s="184"/>
      <c r="F159" s="185"/>
      <c r="G159" s="185"/>
      <c r="H159" s="185"/>
      <c r="I159" s="185"/>
      <c r="J159" s="185"/>
      <c r="K159" s="185"/>
      <c r="L159" s="185"/>
      <c r="M159" s="185"/>
      <c r="N159" s="186"/>
      <c r="O159" s="180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70"/>
      <c r="AA159" s="116"/>
      <c r="AB159" s="208"/>
      <c r="AC159" s="208"/>
      <c r="AD159" s="208"/>
      <c r="AE159" s="208"/>
      <c r="AF159" s="208"/>
      <c r="AG159" s="208"/>
      <c r="AH159" s="208"/>
      <c r="AI159" s="208"/>
      <c r="AJ159" s="208"/>
      <c r="AK159" s="208"/>
      <c r="AL159" s="223"/>
      <c r="AM159" s="252"/>
      <c r="AN159" s="235"/>
      <c r="AO159" s="235"/>
      <c r="AP159" s="235"/>
      <c r="AQ159" s="235"/>
      <c r="AR159" s="235"/>
      <c r="AS159" s="235"/>
      <c r="AT159" s="235"/>
      <c r="AU159" s="235"/>
      <c r="AV159" s="235"/>
      <c r="AW159" s="235"/>
      <c r="AX159" s="349"/>
      <c r="AY159" s="243"/>
      <c r="AZ159" s="235"/>
      <c r="BA159" s="235"/>
      <c r="BB159" s="235"/>
      <c r="BC159" s="235"/>
      <c r="BD159" s="235"/>
      <c r="BE159" s="235"/>
      <c r="BF159" s="235"/>
      <c r="BG159" s="254"/>
      <c r="BH159" s="235"/>
      <c r="BI159" s="235"/>
      <c r="BJ159" s="244"/>
      <c r="BK159" s="243"/>
      <c r="BL159" s="235"/>
      <c r="BM159" s="235"/>
      <c r="BN159" s="235"/>
      <c r="BO159" s="235"/>
      <c r="BP159" s="235"/>
      <c r="BQ159" s="235"/>
      <c r="BR159" s="235"/>
      <c r="BU159" s="235"/>
      <c r="BV159" s="254"/>
      <c r="BW159" s="235"/>
      <c r="BX159" s="235"/>
      <c r="BY159" s="235"/>
      <c r="BZ159" s="235"/>
      <c r="CA159" s="235"/>
      <c r="CB159" s="235"/>
      <c r="CC159" s="235"/>
      <c r="CD159" s="235"/>
      <c r="CE159" s="235"/>
      <c r="CF159" s="235"/>
      <c r="CG159" s="235"/>
      <c r="CH159" s="349"/>
      <c r="CI159" s="351"/>
      <c r="CJ159" s="235"/>
      <c r="CK159" s="235"/>
      <c r="CL159" s="235"/>
      <c r="CM159" s="235"/>
      <c r="CN159" s="235"/>
      <c r="CO159" s="235"/>
      <c r="CP159" s="235"/>
      <c r="CQ159" s="235"/>
      <c r="CR159" s="235"/>
      <c r="CS159" s="235"/>
      <c r="CT159" s="233"/>
    </row>
    <row r="160" spans="1:98" ht="15.75" thickBot="1" x14ac:dyDescent="0.3">
      <c r="A160" s="764"/>
      <c r="B160" s="292">
        <v>155</v>
      </c>
      <c r="C160" s="294"/>
      <c r="D160" s="193" t="s">
        <v>678</v>
      </c>
      <c r="E160" s="212"/>
      <c r="F160" s="213"/>
      <c r="G160" s="213"/>
      <c r="H160" s="213"/>
      <c r="I160" s="213"/>
      <c r="J160" s="213"/>
      <c r="K160" s="213"/>
      <c r="L160" s="213"/>
      <c r="M160" s="213"/>
      <c r="N160" s="214"/>
      <c r="O160" s="215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7"/>
      <c r="AA160" s="116"/>
      <c r="AB160" s="208"/>
      <c r="AC160" s="208"/>
      <c r="AD160" s="208"/>
      <c r="AE160" s="208"/>
      <c r="AF160" s="208"/>
      <c r="AG160" s="208"/>
      <c r="AH160" s="208"/>
      <c r="AI160" s="208"/>
      <c r="AJ160" s="208"/>
      <c r="AK160" s="208"/>
      <c r="AL160" s="223"/>
      <c r="AM160" s="247"/>
      <c r="AO160" s="318"/>
      <c r="AP160" s="248"/>
      <c r="AQ160" s="248"/>
      <c r="AR160" s="248"/>
      <c r="AS160" s="248"/>
      <c r="AT160" s="248"/>
      <c r="AU160" s="248"/>
      <c r="AV160" s="248"/>
      <c r="AW160" s="248"/>
      <c r="AX160" s="249"/>
      <c r="AY160" s="247"/>
      <c r="AZ160" s="345"/>
      <c r="BA160" s="248"/>
      <c r="BB160" s="248"/>
      <c r="BC160" s="248"/>
      <c r="BD160" s="248"/>
      <c r="BE160" s="248"/>
      <c r="BF160" s="248"/>
      <c r="BG160" s="248"/>
      <c r="BH160" s="248"/>
      <c r="BI160" s="248"/>
      <c r="BJ160" s="249"/>
      <c r="BK160" s="247"/>
      <c r="BL160" s="345"/>
      <c r="BM160" s="248"/>
      <c r="BN160" s="248"/>
      <c r="BO160" s="248"/>
      <c r="BP160" s="248"/>
      <c r="BQ160" s="248"/>
      <c r="BR160" s="248"/>
      <c r="BS160" s="248"/>
      <c r="BT160" s="248"/>
      <c r="BU160" s="248"/>
      <c r="BV160" s="249"/>
      <c r="BW160" s="235"/>
      <c r="BX160" s="235"/>
      <c r="BY160" s="235"/>
      <c r="BZ160" s="235"/>
      <c r="CA160" s="254"/>
      <c r="CB160" s="235"/>
      <c r="CC160" s="235"/>
      <c r="CD160" s="235"/>
      <c r="CE160" s="235"/>
      <c r="CF160" s="235"/>
      <c r="CG160" s="235"/>
      <c r="CH160" s="244"/>
      <c r="CI160" s="351"/>
      <c r="CJ160" s="235"/>
      <c r="CK160" s="235"/>
      <c r="CL160" s="235"/>
      <c r="CM160" s="233"/>
      <c r="CN160" s="235"/>
      <c r="CO160" s="235"/>
      <c r="CP160" s="235"/>
      <c r="CQ160" s="235"/>
      <c r="CR160" s="235"/>
      <c r="CS160" s="235"/>
      <c r="CT160" s="235"/>
    </row>
    <row r="161" spans="1:98" ht="15.75" thickBot="1" x14ac:dyDescent="0.3">
      <c r="A161" s="287"/>
      <c r="B161" s="288"/>
      <c r="C161" s="289"/>
      <c r="D161" s="277" t="s">
        <v>456</v>
      </c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239"/>
      <c r="AN161" s="239"/>
      <c r="AO161" s="239"/>
      <c r="AP161" s="239"/>
      <c r="AQ161" s="239"/>
      <c r="AR161" s="239"/>
      <c r="AS161" s="239"/>
      <c r="AT161" s="239"/>
      <c r="AU161" s="239"/>
      <c r="AV161" s="239"/>
      <c r="AW161" s="239"/>
      <c r="AX161" s="239"/>
      <c r="AY161" s="239"/>
      <c r="AZ161" s="239"/>
      <c r="BA161" s="239"/>
      <c r="BB161" s="239"/>
      <c r="BC161" s="239"/>
      <c r="BD161" s="239"/>
      <c r="BE161" s="239"/>
      <c r="BF161" s="239"/>
      <c r="BG161" s="239"/>
      <c r="BH161" s="239"/>
      <c r="BI161" s="239"/>
      <c r="BJ161" s="239"/>
      <c r="BK161" s="239"/>
      <c r="BL161" s="239"/>
      <c r="BM161" s="239"/>
      <c r="BN161" s="239"/>
      <c r="BO161" s="239"/>
      <c r="BP161" s="239"/>
      <c r="BQ161" s="239"/>
      <c r="BR161" s="239"/>
      <c r="BS161" s="239"/>
      <c r="BT161" s="239"/>
      <c r="BU161" s="239"/>
      <c r="BV161" s="239"/>
      <c r="BW161" s="239"/>
      <c r="BX161" s="239"/>
      <c r="BY161" s="239"/>
      <c r="BZ161" s="239"/>
      <c r="CA161" s="239"/>
      <c r="CB161" s="239"/>
      <c r="CC161" s="239"/>
      <c r="CD161" s="239"/>
      <c r="CE161" s="239"/>
      <c r="CF161" s="239"/>
      <c r="CG161" s="239"/>
      <c r="CH161" s="689"/>
      <c r="CI161" s="303"/>
      <c r="CJ161" s="239"/>
      <c r="CK161" s="239"/>
      <c r="CL161" s="239"/>
      <c r="CM161" s="239"/>
      <c r="CN161" s="239"/>
      <c r="CO161" s="239"/>
      <c r="CP161" s="239"/>
      <c r="CQ161" s="239"/>
      <c r="CR161" s="239"/>
      <c r="CS161" s="239"/>
      <c r="CT161" s="239"/>
    </row>
    <row r="162" spans="1:98" ht="15" customHeight="1" thickBot="1" x14ac:dyDescent="0.3">
      <c r="A162" s="759" t="s">
        <v>456</v>
      </c>
      <c r="B162" s="280">
        <v>156</v>
      </c>
      <c r="C162" s="297" t="s">
        <v>642</v>
      </c>
      <c r="D162" s="298" t="s">
        <v>459</v>
      </c>
      <c r="E162" s="160"/>
      <c r="F162" s="21"/>
      <c r="G162" s="21"/>
      <c r="H162" s="21"/>
      <c r="I162" s="21"/>
      <c r="J162" s="21"/>
      <c r="K162" s="21"/>
      <c r="L162" s="21"/>
      <c r="M162" s="21"/>
      <c r="N162" s="21"/>
      <c r="O162" s="165"/>
      <c r="P162" s="165"/>
      <c r="Q162" s="165"/>
      <c r="R162" s="165"/>
      <c r="S162" s="165"/>
      <c r="T162" s="165"/>
      <c r="U162" s="41"/>
      <c r="V162" s="165"/>
      <c r="W162" s="165"/>
      <c r="X162" s="165"/>
      <c r="Y162" s="165"/>
      <c r="Z162" s="165"/>
      <c r="AA162" s="208"/>
      <c r="AB162" s="208"/>
      <c r="AC162" s="208"/>
      <c r="AD162" s="208"/>
      <c r="AE162" s="208"/>
      <c r="AF162" s="208"/>
      <c r="AG162" s="208"/>
      <c r="AH162" s="208"/>
      <c r="AI162" s="208"/>
      <c r="AJ162" s="208"/>
      <c r="AK162" s="208"/>
      <c r="AL162" s="223"/>
      <c r="AM162" s="250"/>
      <c r="AN162" s="241"/>
      <c r="AO162" s="241"/>
      <c r="AP162" s="241"/>
      <c r="AQ162" s="241"/>
      <c r="AR162" s="241"/>
      <c r="AS162" s="241"/>
      <c r="AT162" s="310" t="s">
        <v>851</v>
      </c>
      <c r="AU162" s="241"/>
      <c r="AV162" s="241"/>
      <c r="AW162" s="241"/>
      <c r="AX162" s="242"/>
      <c r="AY162" s="240"/>
      <c r="AZ162" s="310" t="s">
        <v>851</v>
      </c>
      <c r="BA162" s="241"/>
      <c r="BB162" s="241"/>
      <c r="BC162" s="241"/>
      <c r="BD162" s="241"/>
      <c r="BE162" s="241"/>
      <c r="BF162" s="241" t="s">
        <v>851</v>
      </c>
      <c r="BG162" s="241"/>
      <c r="BH162" s="241"/>
      <c r="BI162" s="241"/>
      <c r="BJ162" s="242"/>
      <c r="BK162" s="240"/>
      <c r="BL162" s="241"/>
      <c r="BN162" s="241"/>
      <c r="BO162" s="241"/>
      <c r="BP162" s="310" t="s">
        <v>1043</v>
      </c>
      <c r="BQ162" s="241"/>
      <c r="BR162" s="241"/>
      <c r="BS162" s="241"/>
      <c r="BT162" s="241"/>
      <c r="BU162" s="241"/>
      <c r="BV162" s="242"/>
      <c r="BW162" s="235"/>
      <c r="BX162" s="235"/>
      <c r="BY162" s="235"/>
      <c r="BZ162" s="254"/>
      <c r="CA162" s="235"/>
      <c r="CB162" s="235"/>
      <c r="CC162" s="235"/>
      <c r="CD162" s="235"/>
      <c r="CE162" s="235"/>
      <c r="CF162" s="235"/>
      <c r="CG162" s="235"/>
      <c r="CH162" s="244"/>
      <c r="CI162" s="351"/>
      <c r="CJ162" s="235"/>
      <c r="CK162" s="235"/>
      <c r="CL162" s="254"/>
      <c r="CM162" s="235"/>
      <c r="CN162" s="235"/>
      <c r="CO162" s="235"/>
      <c r="CP162" s="235"/>
      <c r="CQ162" s="235"/>
      <c r="CR162" s="235"/>
      <c r="CS162" s="235"/>
      <c r="CT162" s="235"/>
    </row>
    <row r="163" spans="1:98" ht="15.75" thickBot="1" x14ac:dyDescent="0.3">
      <c r="A163" s="760"/>
      <c r="B163" s="280">
        <v>157</v>
      </c>
      <c r="C163" s="299" t="s">
        <v>643</v>
      </c>
      <c r="D163" s="300" t="s">
        <v>458</v>
      </c>
      <c r="E163" s="160"/>
      <c r="F163" s="21"/>
      <c r="G163" s="21"/>
      <c r="H163" s="21"/>
      <c r="I163" s="21"/>
      <c r="J163" s="21"/>
      <c r="K163" s="21"/>
      <c r="L163" s="21"/>
      <c r="M163" s="21"/>
      <c r="N163" s="21"/>
      <c r="O163" s="165"/>
      <c r="P163" s="165"/>
      <c r="Q163" s="165"/>
      <c r="R163" s="165"/>
      <c r="S163" s="165"/>
      <c r="T163" s="165"/>
      <c r="U163" s="41"/>
      <c r="V163" s="165"/>
      <c r="W163" s="165"/>
      <c r="X163" s="165"/>
      <c r="Y163" s="165"/>
      <c r="Z163" s="165"/>
      <c r="AA163" s="208"/>
      <c r="AB163" s="208"/>
      <c r="AC163" s="208"/>
      <c r="AD163" s="208"/>
      <c r="AE163" s="208"/>
      <c r="AF163" s="208"/>
      <c r="AG163" s="208"/>
      <c r="AH163" s="208"/>
      <c r="AI163" s="208"/>
      <c r="AJ163" s="208"/>
      <c r="AK163" s="208"/>
      <c r="AL163" s="223"/>
      <c r="AM163" s="252"/>
      <c r="AN163" s="235"/>
      <c r="AO163" s="235"/>
      <c r="AP163" s="235"/>
      <c r="AQ163" s="235"/>
      <c r="AR163" s="235"/>
      <c r="AS163" s="235"/>
      <c r="AT163" s="254" t="s">
        <v>851</v>
      </c>
      <c r="AU163" s="235"/>
      <c r="AV163" s="235"/>
      <c r="AW163" s="235"/>
      <c r="AX163" s="244"/>
      <c r="AY163" s="243"/>
      <c r="AZ163" s="254" t="s">
        <v>851</v>
      </c>
      <c r="BA163" s="235"/>
      <c r="BB163" s="235"/>
      <c r="BC163" s="235"/>
      <c r="BD163" s="235"/>
      <c r="BE163" s="235"/>
      <c r="BF163" s="235" t="s">
        <v>851</v>
      </c>
      <c r="BG163" s="235"/>
      <c r="BH163" s="235"/>
      <c r="BI163" s="235"/>
      <c r="BJ163" s="244"/>
      <c r="BK163" s="243"/>
      <c r="BL163" s="235"/>
      <c r="BM163" s="254"/>
      <c r="BN163" s="235"/>
      <c r="BO163" s="235"/>
      <c r="BP163" s="235"/>
      <c r="BQ163" s="235"/>
      <c r="BR163" s="235"/>
      <c r="BS163" s="235"/>
      <c r="BT163" s="235"/>
      <c r="BU163" s="235"/>
      <c r="BV163" s="244"/>
      <c r="BW163" s="235"/>
      <c r="BX163" s="235"/>
      <c r="BY163" s="235"/>
      <c r="BZ163" s="254"/>
      <c r="CA163" s="235"/>
      <c r="CB163" s="235"/>
      <c r="CC163" s="235"/>
      <c r="CD163" s="235"/>
      <c r="CE163" s="235"/>
      <c r="CF163" s="235"/>
      <c r="CG163" s="235"/>
      <c r="CH163" s="244"/>
      <c r="CI163" s="351"/>
      <c r="CJ163" s="235"/>
      <c r="CK163" s="235"/>
      <c r="CL163" s="254"/>
      <c r="CM163" s="235"/>
      <c r="CN163" s="235"/>
      <c r="CO163" s="235"/>
      <c r="CP163" s="235"/>
      <c r="CQ163" s="235"/>
      <c r="CR163" s="235"/>
      <c r="CS163" s="235"/>
      <c r="CT163" s="235"/>
    </row>
    <row r="164" spans="1:98" ht="15.75" thickBot="1" x14ac:dyDescent="0.3">
      <c r="A164" s="760"/>
      <c r="B164" s="280">
        <v>158</v>
      </c>
      <c r="C164" s="299" t="s">
        <v>644</v>
      </c>
      <c r="D164" s="300" t="s">
        <v>460</v>
      </c>
      <c r="E164" s="160"/>
      <c r="F164" s="21"/>
      <c r="G164" s="21"/>
      <c r="H164" s="21"/>
      <c r="I164" s="21"/>
      <c r="J164" s="21"/>
      <c r="K164" s="21"/>
      <c r="L164" s="21"/>
      <c r="M164" s="21"/>
      <c r="N164" s="21"/>
      <c r="O164" s="165"/>
      <c r="P164" s="165"/>
      <c r="Q164" s="165"/>
      <c r="R164" s="165"/>
      <c r="S164" s="165"/>
      <c r="T164" s="165"/>
      <c r="U164" s="41"/>
      <c r="V164" s="165"/>
      <c r="W164" s="165"/>
      <c r="X164" s="165"/>
      <c r="Y164" s="165"/>
      <c r="Z164" s="165"/>
      <c r="AA164" s="208"/>
      <c r="AB164" s="208"/>
      <c r="AC164" s="208"/>
      <c r="AD164" s="208"/>
      <c r="AE164" s="208"/>
      <c r="AF164" s="208"/>
      <c r="AG164" s="208"/>
      <c r="AH164" s="208"/>
      <c r="AI164" s="208"/>
      <c r="AJ164" s="208"/>
      <c r="AK164" s="208"/>
      <c r="AL164" s="223"/>
      <c r="AM164" s="252"/>
      <c r="AN164" s="235"/>
      <c r="AO164" s="235"/>
      <c r="AP164" s="235"/>
      <c r="AQ164" s="235"/>
      <c r="AR164" s="235"/>
      <c r="AS164" s="235"/>
      <c r="AT164" s="254" t="s">
        <v>851</v>
      </c>
      <c r="AU164" s="235"/>
      <c r="AV164" s="235"/>
      <c r="AW164" s="235"/>
      <c r="AX164" s="244"/>
      <c r="AY164" s="243"/>
      <c r="AZ164" s="254" t="s">
        <v>851</v>
      </c>
      <c r="BA164" s="235"/>
      <c r="BB164" s="235"/>
      <c r="BC164" s="235"/>
      <c r="BD164" s="235"/>
      <c r="BE164" s="235"/>
      <c r="BF164" s="235" t="s">
        <v>851</v>
      </c>
      <c r="BG164" s="235"/>
      <c r="BH164" s="235"/>
      <c r="BI164" s="235"/>
      <c r="BJ164" s="244"/>
      <c r="BK164" s="243"/>
      <c r="BL164" s="235"/>
      <c r="BM164" s="254"/>
      <c r="BN164" s="235"/>
      <c r="BO164" s="235"/>
      <c r="BP164" s="235"/>
      <c r="BQ164" s="235"/>
      <c r="BR164" s="235"/>
      <c r="BS164" s="235"/>
      <c r="BT164" s="235"/>
      <c r="BU164" s="235"/>
      <c r="BV164" s="244"/>
      <c r="BW164" s="235"/>
      <c r="BX164" s="235"/>
      <c r="BY164" s="235"/>
      <c r="BZ164" s="254"/>
      <c r="CA164" s="235"/>
      <c r="CB164" s="235"/>
      <c r="CC164" s="235"/>
      <c r="CD164" s="235"/>
      <c r="CE164" s="235"/>
      <c r="CF164" s="235"/>
      <c r="CG164" s="235"/>
      <c r="CH164" s="244"/>
      <c r="CI164" s="351"/>
      <c r="CJ164" s="235"/>
      <c r="CK164" s="235"/>
      <c r="CL164" s="254"/>
      <c r="CM164" s="235"/>
      <c r="CN164" s="235"/>
      <c r="CO164" s="235"/>
      <c r="CP164" s="235"/>
      <c r="CQ164" s="235"/>
      <c r="CR164" s="235"/>
      <c r="CS164" s="235"/>
      <c r="CT164" s="235"/>
    </row>
    <row r="165" spans="1:98" ht="15.75" thickBot="1" x14ac:dyDescent="0.3">
      <c r="A165" s="760"/>
      <c r="B165" s="280">
        <v>159</v>
      </c>
      <c r="C165" s="299" t="s">
        <v>645</v>
      </c>
      <c r="D165" s="300" t="s">
        <v>461</v>
      </c>
      <c r="E165" s="160"/>
      <c r="F165" s="21"/>
      <c r="G165" s="21"/>
      <c r="H165" s="21"/>
      <c r="I165" s="21"/>
      <c r="J165" s="21"/>
      <c r="K165" s="21"/>
      <c r="L165" s="21"/>
      <c r="M165" s="21"/>
      <c r="N165" s="21"/>
      <c r="O165" s="165"/>
      <c r="P165" s="165"/>
      <c r="Q165" s="165"/>
      <c r="R165" s="165"/>
      <c r="S165" s="165"/>
      <c r="T165" s="165"/>
      <c r="U165" s="165"/>
      <c r="V165" s="41"/>
      <c r="W165" s="165"/>
      <c r="X165" s="165"/>
      <c r="Y165" s="165"/>
      <c r="Z165" s="165"/>
      <c r="AA165" s="208"/>
      <c r="AB165" s="208"/>
      <c r="AC165" s="208"/>
      <c r="AD165" s="208"/>
      <c r="AE165" s="208"/>
      <c r="AF165" s="208"/>
      <c r="AG165" s="208"/>
      <c r="AH165" s="208"/>
      <c r="AI165" s="208"/>
      <c r="AJ165" s="208"/>
      <c r="AK165" s="208"/>
      <c r="AL165" s="223"/>
      <c r="AM165" s="243"/>
      <c r="AN165" s="235"/>
      <c r="AO165" s="235"/>
      <c r="AP165" s="235"/>
      <c r="AQ165" s="235"/>
      <c r="AR165" s="254" t="s">
        <v>690</v>
      </c>
      <c r="AS165" s="235"/>
      <c r="AT165" s="235"/>
      <c r="AU165" s="235"/>
      <c r="AV165" s="235"/>
      <c r="AW165" s="235"/>
      <c r="AX165" s="244"/>
      <c r="AY165" s="243"/>
      <c r="AZ165" s="235"/>
      <c r="BA165" s="235"/>
      <c r="BB165" s="235"/>
      <c r="BC165" s="235"/>
      <c r="BD165" s="235" t="s">
        <v>690</v>
      </c>
      <c r="BE165" s="124"/>
      <c r="BF165" s="235"/>
      <c r="BG165" s="235"/>
      <c r="BH165" s="235"/>
      <c r="BI165" s="235"/>
      <c r="BJ165" s="244"/>
      <c r="BK165" s="243"/>
      <c r="BL165" s="235"/>
      <c r="BM165" s="235"/>
      <c r="BN165" s="235"/>
      <c r="BO165" s="235"/>
      <c r="BP165" s="235"/>
      <c r="BQ165" s="235"/>
      <c r="BR165" s="235"/>
      <c r="BT165" s="254" t="s">
        <v>1039</v>
      </c>
      <c r="BU165" s="235"/>
      <c r="BV165" s="244"/>
      <c r="BW165" s="235"/>
      <c r="BX165" s="235"/>
      <c r="BY165" s="235"/>
      <c r="BZ165" s="235"/>
      <c r="CA165" s="235"/>
      <c r="CB165" s="235"/>
      <c r="CC165" s="235"/>
      <c r="CD165" s="235"/>
      <c r="CE165" s="235"/>
      <c r="CF165" s="235"/>
      <c r="CG165" s="235"/>
      <c r="CH165" s="244"/>
      <c r="CI165" s="351"/>
      <c r="CJ165" s="235"/>
      <c r="CK165" s="235"/>
      <c r="CL165" s="235"/>
      <c r="CM165" s="235"/>
      <c r="CN165" s="254"/>
      <c r="CO165" s="235"/>
      <c r="CP165" s="235"/>
      <c r="CQ165" s="235"/>
      <c r="CR165" s="235"/>
      <c r="CS165" s="235"/>
      <c r="CT165" s="235"/>
    </row>
    <row r="166" spans="1:98" ht="15.75" thickBot="1" x14ac:dyDescent="0.3">
      <c r="A166" s="760"/>
      <c r="B166" s="280">
        <v>160</v>
      </c>
      <c r="C166" s="299" t="s">
        <v>646</v>
      </c>
      <c r="D166" s="300" t="s">
        <v>462</v>
      </c>
      <c r="E166" s="160"/>
      <c r="F166" s="21"/>
      <c r="G166" s="21"/>
      <c r="H166" s="21"/>
      <c r="I166" s="21"/>
      <c r="J166" s="21"/>
      <c r="K166" s="21"/>
      <c r="L166" s="21"/>
      <c r="M166" s="21"/>
      <c r="N166" s="21"/>
      <c r="O166" s="165"/>
      <c r="P166" s="165"/>
      <c r="Q166" s="165"/>
      <c r="R166" s="165"/>
      <c r="S166" s="165"/>
      <c r="T166" s="165"/>
      <c r="U166" s="165"/>
      <c r="V166" s="41"/>
      <c r="W166" s="165"/>
      <c r="X166" s="165"/>
      <c r="Y166" s="165"/>
      <c r="Z166" s="165"/>
      <c r="AA166" s="208"/>
      <c r="AB166" s="208"/>
      <c r="AC166" s="208"/>
      <c r="AD166" s="208"/>
      <c r="AE166" s="208"/>
      <c r="AF166" s="208"/>
      <c r="AG166" s="208"/>
      <c r="AH166" s="208"/>
      <c r="AI166" s="208"/>
      <c r="AJ166" s="208"/>
      <c r="AK166" s="208"/>
      <c r="AL166" s="223"/>
      <c r="AM166" s="243"/>
      <c r="AN166" s="235"/>
      <c r="AO166" s="235"/>
      <c r="AP166" s="235"/>
      <c r="AQ166" s="235"/>
      <c r="AR166" s="254" t="s">
        <v>690</v>
      </c>
      <c r="AS166" s="235"/>
      <c r="AT166" s="235"/>
      <c r="AU166" s="235"/>
      <c r="AV166" s="235"/>
      <c r="AW166" s="235"/>
      <c r="AX166" s="244"/>
      <c r="AY166" s="243"/>
      <c r="AZ166" s="235"/>
      <c r="BA166" s="235"/>
      <c r="BB166" s="235"/>
      <c r="BC166" s="235"/>
      <c r="BD166" s="235" t="s">
        <v>690</v>
      </c>
      <c r="BF166" s="124"/>
      <c r="BG166" s="235"/>
      <c r="BH166" s="235"/>
      <c r="BI166" s="235"/>
      <c r="BJ166" s="244"/>
      <c r="BK166" s="243"/>
      <c r="BL166" s="235"/>
      <c r="BM166" s="235"/>
      <c r="BN166" s="235"/>
      <c r="BO166" s="235"/>
      <c r="BP166" s="235"/>
      <c r="BQ166" s="235"/>
      <c r="BR166" s="235"/>
      <c r="BS166" s="235"/>
      <c r="BT166" s="254" t="s">
        <v>1039</v>
      </c>
      <c r="BU166" s="235"/>
      <c r="BV166" s="244"/>
      <c r="BW166" s="235"/>
      <c r="BX166" s="235"/>
      <c r="BY166" s="235"/>
      <c r="BZ166" s="235"/>
      <c r="CA166" s="235"/>
      <c r="CB166" s="235"/>
      <c r="CC166" s="235"/>
      <c r="CD166" s="235"/>
      <c r="CE166" s="235"/>
      <c r="CF166" s="235"/>
      <c r="CG166" s="235"/>
      <c r="CH166" s="244"/>
      <c r="CI166" s="351"/>
      <c r="CJ166" s="235"/>
      <c r="CK166" s="235"/>
      <c r="CL166" s="235"/>
      <c r="CM166" s="235"/>
      <c r="CN166" s="235"/>
      <c r="CO166" s="235"/>
      <c r="CP166" s="235"/>
      <c r="CQ166" s="235"/>
      <c r="CR166" s="235"/>
      <c r="CS166" s="235"/>
      <c r="CT166" s="235"/>
    </row>
    <row r="167" spans="1:98" ht="15.75" thickBot="1" x14ac:dyDescent="0.3">
      <c r="A167" s="760"/>
      <c r="B167" s="280">
        <v>161</v>
      </c>
      <c r="C167" s="299" t="s">
        <v>647</v>
      </c>
      <c r="D167" s="300" t="s">
        <v>463</v>
      </c>
      <c r="E167" s="160"/>
      <c r="F167" s="21"/>
      <c r="G167" s="21"/>
      <c r="H167" s="21"/>
      <c r="I167" s="21"/>
      <c r="J167" s="21"/>
      <c r="K167" s="21"/>
      <c r="L167" s="21"/>
      <c r="M167" s="21"/>
      <c r="N167" s="21"/>
      <c r="O167" s="165"/>
      <c r="P167" s="165"/>
      <c r="Q167" s="165"/>
      <c r="R167" s="165"/>
      <c r="S167" s="165"/>
      <c r="T167" s="165"/>
      <c r="U167" s="165"/>
      <c r="V167" s="165"/>
      <c r="W167" s="165"/>
      <c r="X167" s="41"/>
      <c r="Y167" s="165"/>
      <c r="Z167" s="165"/>
      <c r="AA167" s="208"/>
      <c r="AB167" s="208"/>
      <c r="AC167" s="208"/>
      <c r="AD167" s="208"/>
      <c r="AE167" s="208"/>
      <c r="AF167" s="208"/>
      <c r="AG167" s="208"/>
      <c r="AH167" s="208"/>
      <c r="AI167" s="208"/>
      <c r="AJ167" s="208"/>
      <c r="AK167" s="208"/>
      <c r="AL167" s="225"/>
      <c r="AM167" s="243"/>
      <c r="AN167" s="235"/>
      <c r="AO167" s="235"/>
      <c r="AP167" s="235"/>
      <c r="AQ167" s="235"/>
      <c r="AR167" s="235"/>
      <c r="AS167" s="235"/>
      <c r="AT167" s="235"/>
      <c r="AU167" s="254"/>
      <c r="AV167" s="235"/>
      <c r="AW167" s="235"/>
      <c r="AX167" s="244"/>
      <c r="AY167" s="243"/>
      <c r="AZ167" s="235"/>
      <c r="BA167" s="235"/>
      <c r="BB167" s="235"/>
      <c r="BC167" s="235"/>
      <c r="BD167" s="254"/>
      <c r="BE167" s="235"/>
      <c r="BF167" s="235"/>
      <c r="BG167" s="235"/>
      <c r="BH167" s="235"/>
      <c r="BI167" s="235"/>
      <c r="BJ167" s="244"/>
      <c r="BK167" s="243"/>
      <c r="BL167" s="235"/>
      <c r="BM167" s="235"/>
      <c r="BN167" s="235"/>
      <c r="BO167" s="235"/>
      <c r="BP167" s="235"/>
      <c r="BQ167" s="254"/>
      <c r="BR167" s="235"/>
      <c r="BS167" s="235"/>
      <c r="BT167" s="235"/>
      <c r="BU167" s="235"/>
      <c r="BV167" s="244"/>
      <c r="BW167" s="235"/>
      <c r="BX167" s="235"/>
      <c r="BY167" s="235"/>
      <c r="BZ167" s="235"/>
      <c r="CA167" s="254"/>
      <c r="CB167" s="235"/>
      <c r="CC167" s="259"/>
      <c r="CD167" s="235"/>
      <c r="CE167" s="235"/>
      <c r="CF167" s="235"/>
      <c r="CG167" s="235"/>
      <c r="CH167" s="244"/>
      <c r="CI167" s="708" t="s">
        <v>1428</v>
      </c>
      <c r="CJ167" s="235"/>
      <c r="CK167" s="235"/>
      <c r="CL167" s="235"/>
      <c r="CM167" s="233" t="s">
        <v>1427</v>
      </c>
      <c r="CN167" s="235"/>
      <c r="CO167" s="259"/>
      <c r="CP167" s="235"/>
      <c r="CQ167" s="235"/>
      <c r="CR167" s="235"/>
      <c r="CS167" s="235"/>
      <c r="CT167" s="235"/>
    </row>
    <row r="168" spans="1:98" ht="15.75" thickBot="1" x14ac:dyDescent="0.3">
      <c r="A168" s="760"/>
      <c r="B168" s="280">
        <v>162</v>
      </c>
      <c r="C168" s="299" t="s">
        <v>648</v>
      </c>
      <c r="D168" s="300" t="s">
        <v>464</v>
      </c>
      <c r="E168" s="160"/>
      <c r="F168" s="21"/>
      <c r="G168" s="21"/>
      <c r="H168" s="21"/>
      <c r="I168" s="21"/>
      <c r="J168" s="21"/>
      <c r="K168" s="21"/>
      <c r="L168" s="21"/>
      <c r="M168" s="21"/>
      <c r="N168" s="21"/>
      <c r="O168" s="165"/>
      <c r="P168" s="165"/>
      <c r="Q168" s="165"/>
      <c r="R168" s="165"/>
      <c r="S168" s="165"/>
      <c r="T168" s="165"/>
      <c r="U168" s="165"/>
      <c r="V168" s="165"/>
      <c r="W168" s="165"/>
      <c r="X168" s="103"/>
      <c r="Y168" s="165"/>
      <c r="Z168" s="165"/>
      <c r="AA168" s="208"/>
      <c r="AB168" s="208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23"/>
      <c r="AM168" s="243"/>
      <c r="AN168" s="235"/>
      <c r="AO168" s="235"/>
      <c r="AP168" s="235"/>
      <c r="AQ168" s="235"/>
      <c r="AT168" s="235"/>
      <c r="AU168" s="254"/>
      <c r="AV168" s="235"/>
      <c r="AW168" s="235"/>
      <c r="AX168" s="244"/>
      <c r="AY168" s="243"/>
      <c r="AZ168" s="235"/>
      <c r="BA168" s="235"/>
      <c r="BB168" s="235"/>
      <c r="BC168" s="235"/>
      <c r="BD168" s="254"/>
      <c r="BE168" s="235"/>
      <c r="BF168" s="235"/>
      <c r="BG168" s="235"/>
      <c r="BH168" s="235"/>
      <c r="BI168" s="235"/>
      <c r="BJ168" s="244"/>
      <c r="BK168" s="243"/>
      <c r="BL168" s="235"/>
      <c r="BM168" s="235"/>
      <c r="BN168" s="235"/>
      <c r="BO168" s="235"/>
      <c r="BP168" s="235"/>
      <c r="BQ168" s="254"/>
      <c r="BR168" s="235"/>
      <c r="BS168" s="235"/>
      <c r="BT168" s="235"/>
      <c r="BU168" s="235"/>
      <c r="BV168" s="244"/>
      <c r="BW168" s="235"/>
      <c r="BX168" s="235"/>
      <c r="BY168" s="235"/>
      <c r="BZ168" s="235"/>
      <c r="CA168" s="254"/>
      <c r="CB168" s="235"/>
      <c r="CC168" s="259"/>
      <c r="CD168" s="235"/>
      <c r="CE168" s="235"/>
      <c r="CF168" s="235"/>
      <c r="CG168" s="235"/>
      <c r="CH168" s="244"/>
      <c r="CI168" s="351"/>
      <c r="CJ168" s="235"/>
      <c r="CK168" s="235"/>
      <c r="CL168" s="235"/>
      <c r="CM168" s="233"/>
      <c r="CN168" s="235"/>
      <c r="CO168" s="259"/>
      <c r="CP168" s="235"/>
      <c r="CQ168" s="235"/>
      <c r="CR168" s="235"/>
      <c r="CS168" s="235"/>
      <c r="CT168" s="235"/>
    </row>
    <row r="169" spans="1:98" ht="15.75" thickBot="1" x14ac:dyDescent="0.3">
      <c r="A169" s="760"/>
      <c r="B169" s="280">
        <v>163</v>
      </c>
      <c r="C169" s="299" t="s">
        <v>649</v>
      </c>
      <c r="D169" s="300" t="s">
        <v>465</v>
      </c>
      <c r="E169" s="160"/>
      <c r="F169" s="21"/>
      <c r="G169" s="21"/>
      <c r="H169" s="21"/>
      <c r="I169" s="21"/>
      <c r="J169" s="21"/>
      <c r="K169" s="21"/>
      <c r="L169" s="21"/>
      <c r="M169" s="21"/>
      <c r="N169" s="21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41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41"/>
      <c r="AL169" s="223"/>
      <c r="AM169" s="243"/>
      <c r="AN169" s="235"/>
      <c r="AO169" s="235"/>
      <c r="AP169" s="235"/>
      <c r="AQ169" s="235"/>
      <c r="AR169" s="235"/>
      <c r="AS169" s="235"/>
      <c r="AT169" s="235"/>
      <c r="AU169" s="235"/>
      <c r="AV169" s="235"/>
      <c r="AW169" s="235"/>
      <c r="AX169" s="244"/>
      <c r="AY169" s="235"/>
      <c r="BA169" s="235"/>
      <c r="BB169" s="235"/>
      <c r="BC169" s="235"/>
      <c r="BD169" s="235"/>
      <c r="BE169" s="235"/>
      <c r="BF169" s="235"/>
      <c r="BG169" s="235"/>
      <c r="BH169" s="235"/>
      <c r="BI169" s="235"/>
      <c r="BJ169" s="244"/>
      <c r="BK169" s="235"/>
      <c r="BL169" s="254"/>
      <c r="BM169" s="235"/>
      <c r="BN169" s="235"/>
      <c r="BO169" s="235"/>
      <c r="BP169" s="235"/>
      <c r="BQ169" s="235"/>
      <c r="BR169" s="235"/>
      <c r="BS169" s="235"/>
      <c r="BT169" s="235"/>
      <c r="BU169" s="235"/>
      <c r="BV169" s="244"/>
      <c r="BW169" s="235"/>
      <c r="BY169" s="235"/>
      <c r="BZ169" s="235"/>
      <c r="CA169" s="233"/>
      <c r="CB169" s="235"/>
      <c r="CC169" s="235"/>
      <c r="CD169" s="235"/>
      <c r="CE169" s="235"/>
      <c r="CF169" s="235"/>
      <c r="CG169" s="235"/>
      <c r="CH169" s="244"/>
      <c r="CI169" s="351"/>
      <c r="CK169" s="235"/>
      <c r="CL169" s="235"/>
      <c r="CM169" s="254"/>
      <c r="CN169" s="235"/>
      <c r="CO169" s="235"/>
      <c r="CP169" s="235"/>
      <c r="CQ169" s="235"/>
      <c r="CR169" s="235"/>
      <c r="CS169" s="235"/>
      <c r="CT169" s="235"/>
    </row>
    <row r="170" spans="1:98" ht="15.75" thickBot="1" x14ac:dyDescent="0.3">
      <c r="A170" s="760"/>
      <c r="B170" s="280">
        <v>164</v>
      </c>
      <c r="C170" s="299" t="s">
        <v>650</v>
      </c>
      <c r="D170" s="300" t="s">
        <v>466</v>
      </c>
      <c r="E170" s="160"/>
      <c r="F170" s="21"/>
      <c r="G170" s="21"/>
      <c r="H170" s="21"/>
      <c r="I170" s="21"/>
      <c r="J170" s="21"/>
      <c r="K170" s="21"/>
      <c r="L170" s="21"/>
      <c r="M170" s="21"/>
      <c r="N170" s="21"/>
      <c r="O170" s="165"/>
      <c r="P170" s="165"/>
      <c r="Q170" s="165"/>
      <c r="R170" s="165"/>
      <c r="S170" s="41"/>
      <c r="T170" s="165"/>
      <c r="U170" s="165"/>
      <c r="V170" s="165"/>
      <c r="W170" s="165"/>
      <c r="X170" s="165"/>
      <c r="Y170" s="165"/>
      <c r="Z170" s="165"/>
      <c r="AA170" s="79"/>
      <c r="AB170" s="208"/>
      <c r="AC170" s="208"/>
      <c r="AD170" s="208"/>
      <c r="AE170" s="208"/>
      <c r="AF170" s="208"/>
      <c r="AG170" s="208"/>
      <c r="AH170" s="208"/>
      <c r="AI170" s="208"/>
      <c r="AJ170" s="208"/>
      <c r="AK170" s="41"/>
      <c r="AL170" s="223"/>
      <c r="AM170" s="243"/>
      <c r="AN170" s="235"/>
      <c r="AO170" s="235"/>
      <c r="AP170" s="235"/>
      <c r="AQ170" s="235"/>
      <c r="AR170" s="235"/>
      <c r="AS170" s="235"/>
      <c r="AT170" s="235"/>
      <c r="AU170" s="235"/>
      <c r="AV170" s="235"/>
      <c r="AW170" s="235"/>
      <c r="AX170" s="244"/>
      <c r="AY170" s="235"/>
      <c r="AZ170" s="235"/>
      <c r="BA170" s="235"/>
      <c r="BB170" s="235"/>
      <c r="BC170" s="235"/>
      <c r="BD170" s="235"/>
      <c r="BE170" s="235"/>
      <c r="BF170" s="235"/>
      <c r="BG170" s="235"/>
      <c r="BH170" s="235"/>
      <c r="BI170" s="235"/>
      <c r="BJ170" s="244"/>
      <c r="BK170" s="235"/>
      <c r="BM170" s="235"/>
      <c r="BN170" s="235"/>
      <c r="BO170" s="235"/>
      <c r="BP170" s="235"/>
      <c r="BQ170" s="235"/>
      <c r="BR170" s="254"/>
      <c r="BS170" s="235"/>
      <c r="BT170" s="235"/>
      <c r="BU170" s="235"/>
      <c r="BV170" s="244"/>
      <c r="BW170" s="235"/>
      <c r="BX170" s="235"/>
      <c r="BY170" s="235"/>
      <c r="BZ170" s="235"/>
      <c r="CA170" s="235"/>
      <c r="CB170" s="235"/>
      <c r="CC170" s="259"/>
      <c r="CD170" s="235"/>
      <c r="CE170" s="235"/>
      <c r="CF170" s="235"/>
      <c r="CG170" s="235"/>
      <c r="CH170" s="349"/>
      <c r="CI170" s="351"/>
      <c r="CJ170" s="235"/>
      <c r="CK170" s="235"/>
      <c r="CL170" s="235"/>
      <c r="CM170" s="235"/>
      <c r="CN170" s="235"/>
      <c r="CO170" s="233"/>
      <c r="CP170" s="235"/>
      <c r="CQ170" s="235"/>
      <c r="CR170" s="235"/>
      <c r="CS170" s="235"/>
      <c r="CT170" s="235"/>
    </row>
    <row r="171" spans="1:98" ht="15.75" thickBot="1" x14ac:dyDescent="0.3">
      <c r="A171" s="760"/>
      <c r="B171" s="280">
        <v>165</v>
      </c>
      <c r="C171" s="299" t="s">
        <v>651</v>
      </c>
      <c r="D171" s="300" t="s">
        <v>467</v>
      </c>
      <c r="E171" s="295"/>
      <c r="F171" s="22"/>
      <c r="G171" s="22"/>
      <c r="H171" s="22"/>
      <c r="I171" s="22"/>
      <c r="J171" s="22"/>
      <c r="K171" s="22"/>
      <c r="L171" s="22"/>
      <c r="M171" s="22"/>
      <c r="N171" s="22"/>
      <c r="O171" s="165"/>
      <c r="P171" s="165"/>
      <c r="Q171" s="165"/>
      <c r="R171" s="165"/>
      <c r="S171" s="79"/>
      <c r="T171" s="165"/>
      <c r="U171" s="165"/>
      <c r="V171" s="165"/>
      <c r="W171" s="165"/>
      <c r="X171" s="165"/>
      <c r="Y171" s="165"/>
      <c r="Z171" s="165"/>
      <c r="AA171" s="208"/>
      <c r="AB171" s="208"/>
      <c r="AC171" s="208"/>
      <c r="AD171" s="208"/>
      <c r="AE171" s="208"/>
      <c r="AF171" s="208"/>
      <c r="AG171" s="208"/>
      <c r="AH171" s="208"/>
      <c r="AI171" s="208"/>
      <c r="AJ171" s="208"/>
      <c r="AK171" s="41"/>
      <c r="AL171" s="223"/>
      <c r="AM171" s="243"/>
      <c r="AN171" s="235"/>
      <c r="AO171" s="235"/>
      <c r="AP171" s="235"/>
      <c r="AQ171" s="235"/>
      <c r="AR171" s="235"/>
      <c r="AS171" s="235"/>
      <c r="AT171" s="235"/>
      <c r="AU171" s="235"/>
      <c r="AV171" s="235"/>
      <c r="AW171" s="235"/>
      <c r="AX171" s="244"/>
      <c r="AY171" s="235"/>
      <c r="AZ171" s="235"/>
      <c r="BA171" s="235"/>
      <c r="BB171" s="235"/>
      <c r="BC171" s="235"/>
      <c r="BD171" s="235"/>
      <c r="BE171" s="235"/>
      <c r="BF171" s="235"/>
      <c r="BG171" s="235"/>
      <c r="BH171" s="235"/>
      <c r="BI171" s="235"/>
      <c r="BJ171" s="244"/>
      <c r="BK171" s="235"/>
      <c r="BL171" s="235"/>
      <c r="BM171" s="235"/>
      <c r="BN171" s="235"/>
      <c r="BO171" s="235"/>
      <c r="BP171" s="235"/>
      <c r="BQ171" s="235"/>
      <c r="BR171" s="254"/>
      <c r="BS171" s="235"/>
      <c r="BT171" s="235"/>
      <c r="BU171" s="235"/>
      <c r="BV171" s="244"/>
      <c r="BW171" s="235"/>
      <c r="BX171" s="235"/>
      <c r="BY171" s="235"/>
      <c r="BZ171" s="235"/>
      <c r="CA171" s="235"/>
      <c r="CB171" s="235"/>
      <c r="CC171" s="259"/>
      <c r="CD171" s="235"/>
      <c r="CE171" s="235"/>
      <c r="CF171" s="254"/>
      <c r="CG171" s="235"/>
      <c r="CH171" s="349"/>
      <c r="CI171" s="351"/>
      <c r="CJ171" s="235"/>
      <c r="CK171" s="235"/>
      <c r="CL171" s="235"/>
      <c r="CM171" s="235"/>
      <c r="CN171" s="235"/>
      <c r="CO171" s="259"/>
      <c r="CP171" s="235"/>
      <c r="CQ171" s="235"/>
      <c r="CR171" s="233"/>
      <c r="CS171" s="235"/>
      <c r="CT171" s="235"/>
    </row>
    <row r="172" spans="1:98" ht="15.75" thickBot="1" x14ac:dyDescent="0.3">
      <c r="A172" s="760"/>
      <c r="B172" s="280">
        <v>166</v>
      </c>
      <c r="C172" s="299" t="s">
        <v>652</v>
      </c>
      <c r="D172" s="301" t="s">
        <v>468</v>
      </c>
      <c r="E172" s="295"/>
      <c r="F172" s="22"/>
      <c r="G172" s="22"/>
      <c r="H172" s="22"/>
      <c r="I172" s="22"/>
      <c r="J172" s="22"/>
      <c r="K172" s="22"/>
      <c r="L172" s="22"/>
      <c r="M172" s="22"/>
      <c r="N172" s="22"/>
      <c r="O172" s="165"/>
      <c r="P172" s="165"/>
      <c r="Q172" s="165"/>
      <c r="R172" s="165"/>
      <c r="S172" s="79"/>
      <c r="T172" s="165"/>
      <c r="U172" s="165"/>
      <c r="V172" s="165"/>
      <c r="W172" s="165"/>
      <c r="X172" s="165"/>
      <c r="Y172" s="165"/>
      <c r="Z172" s="165"/>
      <c r="AA172" s="208"/>
      <c r="AB172" s="208"/>
      <c r="AC172" s="208"/>
      <c r="AD172" s="208"/>
      <c r="AE172" s="208"/>
      <c r="AF172" s="208"/>
      <c r="AG172" s="208"/>
      <c r="AH172" s="208"/>
      <c r="AI172" s="208"/>
      <c r="AJ172" s="208"/>
      <c r="AK172" s="41"/>
      <c r="AL172" s="223"/>
      <c r="AM172" s="243"/>
      <c r="AN172" s="235"/>
      <c r="AO172" s="235"/>
      <c r="AP172" s="235"/>
      <c r="AQ172" s="235"/>
      <c r="AR172" s="235"/>
      <c r="AS172" s="235"/>
      <c r="AT172" s="235"/>
      <c r="AU172" s="235"/>
      <c r="AV172" s="235"/>
      <c r="AW172" s="235"/>
      <c r="AX172" s="349"/>
      <c r="AY172" s="235"/>
      <c r="AZ172" s="235"/>
      <c r="BA172" s="235"/>
      <c r="BB172" s="235"/>
      <c r="BC172" s="235"/>
      <c r="BD172" s="235"/>
      <c r="BE172" s="235"/>
      <c r="BF172" s="235"/>
      <c r="BG172" s="235"/>
      <c r="BH172" s="235"/>
      <c r="BI172" s="235"/>
      <c r="BJ172" s="244"/>
      <c r="BK172" s="235"/>
      <c r="BL172" s="235"/>
      <c r="BM172" s="235"/>
      <c r="BN172" s="235"/>
      <c r="BO172" s="235"/>
      <c r="BP172" s="235"/>
      <c r="BQ172" s="235"/>
      <c r="BR172" s="254"/>
      <c r="BS172" s="235"/>
      <c r="BT172" s="235"/>
      <c r="BU172" s="235"/>
      <c r="BV172" s="244"/>
      <c r="BW172" s="235"/>
      <c r="BX172" s="235"/>
      <c r="BY172" s="235"/>
      <c r="BZ172" s="235"/>
      <c r="CA172" s="235"/>
      <c r="CB172" s="235"/>
      <c r="CC172" s="235"/>
      <c r="CD172" s="254"/>
      <c r="CE172" s="235"/>
      <c r="CF172" s="235"/>
      <c r="CG172" s="235"/>
      <c r="CH172" s="244"/>
      <c r="CI172" s="351"/>
      <c r="CJ172" s="235"/>
      <c r="CK172" s="235"/>
      <c r="CL172" s="235"/>
      <c r="CM172" s="235"/>
      <c r="CN172" s="235"/>
      <c r="CO172" s="235"/>
      <c r="CP172" s="233"/>
      <c r="CQ172" s="235"/>
      <c r="CR172" s="235"/>
      <c r="CS172" s="235"/>
      <c r="CT172" s="235"/>
    </row>
    <row r="173" spans="1:98" ht="15.75" thickBot="1" x14ac:dyDescent="0.3">
      <c r="A173" s="760"/>
      <c r="B173" s="280">
        <v>167</v>
      </c>
      <c r="C173" s="299" t="s">
        <v>653</v>
      </c>
      <c r="D173" s="301" t="s">
        <v>469</v>
      </c>
      <c r="E173" s="295"/>
      <c r="F173" s="22"/>
      <c r="G173" s="22"/>
      <c r="H173" s="22"/>
      <c r="I173" s="22"/>
      <c r="J173" s="22"/>
      <c r="K173" s="22"/>
      <c r="L173" s="22"/>
      <c r="M173" s="22"/>
      <c r="N173" s="22"/>
      <c r="O173" s="165"/>
      <c r="P173" s="165"/>
      <c r="Q173" s="165"/>
      <c r="R173" s="165"/>
      <c r="S173" s="79"/>
      <c r="T173" s="165"/>
      <c r="U173" s="165"/>
      <c r="V173" s="165"/>
      <c r="W173" s="165"/>
      <c r="X173" s="165"/>
      <c r="Y173" s="165"/>
      <c r="Z173" s="165"/>
      <c r="AA173" s="208"/>
      <c r="AB173" s="208"/>
      <c r="AC173" s="208"/>
      <c r="AD173" s="208"/>
      <c r="AE173" s="208"/>
      <c r="AF173" s="208"/>
      <c r="AG173" s="208"/>
      <c r="AH173" s="208"/>
      <c r="AI173" s="208"/>
      <c r="AJ173" s="208"/>
      <c r="AK173" s="41"/>
      <c r="AL173" s="223"/>
      <c r="AM173" s="243"/>
      <c r="AN173" s="235"/>
      <c r="AO173" s="235"/>
      <c r="AP173" s="235"/>
      <c r="AQ173" s="235"/>
      <c r="AR173" s="235"/>
      <c r="AS173" s="235"/>
      <c r="AT173" s="235"/>
      <c r="AU173" s="235"/>
      <c r="AV173" s="235"/>
      <c r="AW173" s="235"/>
      <c r="AX173" s="349"/>
      <c r="AY173" s="235"/>
      <c r="AZ173" s="235"/>
      <c r="BA173" s="235"/>
      <c r="BB173" s="235"/>
      <c r="BC173" s="235"/>
      <c r="BD173" s="235"/>
      <c r="BE173" s="235"/>
      <c r="BF173" s="235"/>
      <c r="BG173" s="235"/>
      <c r="BH173" s="235"/>
      <c r="BI173" s="235"/>
      <c r="BJ173" s="244"/>
      <c r="BK173" s="235"/>
      <c r="BL173" s="235"/>
      <c r="BM173" s="235"/>
      <c r="BN173" s="235"/>
      <c r="BO173" s="235"/>
      <c r="BP173" s="235"/>
      <c r="BQ173" s="235"/>
      <c r="BR173" s="254"/>
      <c r="BS173" s="235"/>
      <c r="BT173" s="235"/>
      <c r="BU173" s="235"/>
      <c r="BV173" s="244"/>
      <c r="BW173" s="235"/>
      <c r="BX173" s="235"/>
      <c r="BY173" s="235"/>
      <c r="BZ173" s="235"/>
      <c r="CA173" s="235"/>
      <c r="CB173" s="235"/>
      <c r="CC173" s="235"/>
      <c r="CD173" s="254"/>
      <c r="CE173" s="235"/>
      <c r="CF173" s="235"/>
      <c r="CG173" s="235"/>
      <c r="CH173" s="244"/>
      <c r="CI173" s="351"/>
      <c r="CJ173" s="235"/>
      <c r="CK173" s="235"/>
      <c r="CL173" s="235"/>
      <c r="CM173" s="235"/>
      <c r="CN173" s="235"/>
      <c r="CO173" s="235"/>
      <c r="CP173" s="233"/>
      <c r="CQ173" s="235"/>
      <c r="CR173" s="235"/>
      <c r="CS173" s="235"/>
      <c r="CT173" s="235"/>
    </row>
    <row r="174" spans="1:98" ht="15.75" thickBot="1" x14ac:dyDescent="0.3">
      <c r="A174" s="760"/>
      <c r="B174" s="280">
        <v>168</v>
      </c>
      <c r="C174" s="299" t="s">
        <v>654</v>
      </c>
      <c r="D174" s="301" t="s">
        <v>470</v>
      </c>
      <c r="E174" s="295"/>
      <c r="F174" s="22"/>
      <c r="G174" s="22"/>
      <c r="H174" s="22"/>
      <c r="I174" s="22"/>
      <c r="J174" s="22"/>
      <c r="K174" s="22"/>
      <c r="L174" s="22"/>
      <c r="M174" s="22"/>
      <c r="N174" s="22"/>
      <c r="O174" s="165"/>
      <c r="P174" s="165"/>
      <c r="Q174" s="165"/>
      <c r="R174" s="165"/>
      <c r="S174" s="79"/>
      <c r="T174" s="165"/>
      <c r="U174" s="165"/>
      <c r="V174" s="165"/>
      <c r="W174" s="165"/>
      <c r="X174" s="165"/>
      <c r="Y174" s="165"/>
      <c r="Z174" s="165"/>
      <c r="AA174" s="208"/>
      <c r="AB174" s="208"/>
      <c r="AC174" s="208"/>
      <c r="AD174" s="208"/>
      <c r="AE174" s="208"/>
      <c r="AF174" s="208"/>
      <c r="AG174" s="208"/>
      <c r="AH174" s="208"/>
      <c r="AI174" s="208"/>
      <c r="AJ174" s="208"/>
      <c r="AK174" s="41"/>
      <c r="AL174" s="223"/>
      <c r="AM174" s="243"/>
      <c r="AN174" s="235"/>
      <c r="AO174" s="235"/>
      <c r="AP174" s="235"/>
      <c r="AQ174" s="235"/>
      <c r="AR174" s="235"/>
      <c r="AS174" s="235"/>
      <c r="AT174" s="235"/>
      <c r="AU174" s="235"/>
      <c r="AV174" s="235"/>
      <c r="AW174" s="235"/>
      <c r="AX174" s="349"/>
      <c r="AY174" s="235"/>
      <c r="AZ174" s="235"/>
      <c r="BA174" s="235"/>
      <c r="BB174" s="235"/>
      <c r="BC174" s="235"/>
      <c r="BD174" s="235"/>
      <c r="BE174" s="235"/>
      <c r="BF174" s="235"/>
      <c r="BG174" s="235"/>
      <c r="BH174" s="235"/>
      <c r="BI174" s="235"/>
      <c r="BJ174" s="349"/>
      <c r="BK174" s="235"/>
      <c r="BL174" s="235"/>
      <c r="BM174" s="235"/>
      <c r="BN174" s="235"/>
      <c r="BO174" s="235"/>
      <c r="BP174" s="235"/>
      <c r="BQ174" s="235"/>
      <c r="BR174" s="235"/>
      <c r="BS174" s="235"/>
      <c r="BT174" s="235"/>
      <c r="BU174" s="235"/>
      <c r="BV174" s="244"/>
      <c r="BW174" s="235"/>
      <c r="BX174" s="235"/>
      <c r="BY174" s="235"/>
      <c r="BZ174" s="259"/>
      <c r="CA174" s="235"/>
      <c r="CB174" s="235"/>
      <c r="CC174" s="235"/>
      <c r="CD174" s="254"/>
      <c r="CE174" s="235"/>
      <c r="CF174" s="235"/>
      <c r="CG174" s="235"/>
      <c r="CH174" s="244"/>
      <c r="CI174" s="351"/>
      <c r="CJ174" s="235"/>
      <c r="CK174" s="235"/>
      <c r="CL174" s="259"/>
      <c r="CM174" s="235"/>
      <c r="CN174" s="235"/>
      <c r="CO174" s="235"/>
      <c r="CP174" s="233"/>
      <c r="CQ174" s="235"/>
      <c r="CR174" s="235"/>
      <c r="CS174" s="235"/>
      <c r="CT174" s="235"/>
    </row>
    <row r="175" spans="1:98" ht="15.75" thickBot="1" x14ac:dyDescent="0.3">
      <c r="A175" s="760"/>
      <c r="B175" s="280">
        <v>169</v>
      </c>
      <c r="C175" s="299" t="s">
        <v>655</v>
      </c>
      <c r="D175" s="301" t="s">
        <v>471</v>
      </c>
      <c r="E175" s="295"/>
      <c r="F175" s="22"/>
      <c r="G175" s="22"/>
      <c r="H175" s="22"/>
      <c r="I175" s="22"/>
      <c r="J175" s="22"/>
      <c r="K175" s="22"/>
      <c r="L175" s="22"/>
      <c r="M175" s="22"/>
      <c r="N175" s="22"/>
      <c r="O175" s="165"/>
      <c r="P175" s="165"/>
      <c r="Q175" s="165"/>
      <c r="R175" s="165"/>
      <c r="S175" s="79"/>
      <c r="T175" s="165"/>
      <c r="U175" s="165"/>
      <c r="V175" s="165"/>
      <c r="W175" s="165"/>
      <c r="X175" s="165"/>
      <c r="Y175" s="165"/>
      <c r="Z175" s="165"/>
      <c r="AA175" s="208"/>
      <c r="AB175" s="208"/>
      <c r="AC175" s="208"/>
      <c r="AD175" s="208"/>
      <c r="AE175" s="208"/>
      <c r="AF175" s="208"/>
      <c r="AG175" s="208"/>
      <c r="AH175" s="208"/>
      <c r="AI175" s="208"/>
      <c r="AJ175" s="208"/>
      <c r="AK175" s="41"/>
      <c r="AL175" s="223"/>
      <c r="AM175" s="243"/>
      <c r="AN175" s="235"/>
      <c r="AO175" s="235"/>
      <c r="AP175" s="235"/>
      <c r="AQ175" s="235"/>
      <c r="AR175" s="235"/>
      <c r="AS175" s="235"/>
      <c r="AT175" s="235"/>
      <c r="AU175" s="235"/>
      <c r="AV175" s="235"/>
      <c r="AW175" s="235"/>
      <c r="AX175" s="349"/>
      <c r="AY175" s="235"/>
      <c r="AZ175" s="235"/>
      <c r="BA175" s="235"/>
      <c r="BB175" s="235"/>
      <c r="BC175" s="235"/>
      <c r="BD175" s="235"/>
      <c r="BE175" s="235"/>
      <c r="BF175" s="235"/>
      <c r="BG175" s="235"/>
      <c r="BH175" s="235"/>
      <c r="BI175" s="235"/>
      <c r="BJ175" s="349"/>
      <c r="BK175" s="235"/>
      <c r="BL175" s="235"/>
      <c r="BM175" s="235"/>
      <c r="BN175" s="235"/>
      <c r="BO175" s="235"/>
      <c r="BP175" s="235"/>
      <c r="BQ175" s="235"/>
      <c r="BR175" s="235"/>
      <c r="BS175" s="235"/>
      <c r="BT175" s="235"/>
      <c r="BU175" s="235"/>
      <c r="BV175" s="244"/>
      <c r="BW175" s="235"/>
      <c r="BX175" s="235"/>
      <c r="BY175" s="235"/>
      <c r="BZ175" s="259"/>
      <c r="CA175" s="235"/>
      <c r="CB175" s="235"/>
      <c r="CC175" s="235"/>
      <c r="CD175" s="254"/>
      <c r="CE175" s="235"/>
      <c r="CF175" s="235"/>
      <c r="CG175" s="235"/>
      <c r="CH175" s="244"/>
      <c r="CI175" s="351"/>
      <c r="CJ175" s="235"/>
      <c r="CK175" s="235"/>
      <c r="CL175" s="259"/>
      <c r="CM175" s="235"/>
      <c r="CN175" s="235"/>
      <c r="CO175" s="235"/>
      <c r="CP175" s="233"/>
      <c r="CQ175" s="235"/>
      <c r="CR175" s="235"/>
      <c r="CS175" s="235"/>
      <c r="CT175" s="235"/>
    </row>
    <row r="176" spans="1:98" ht="15.75" thickBot="1" x14ac:dyDescent="0.3">
      <c r="A176" s="760"/>
      <c r="B176" s="280">
        <v>170</v>
      </c>
      <c r="C176" s="299" t="s">
        <v>656</v>
      </c>
      <c r="D176" s="301" t="s">
        <v>472</v>
      </c>
      <c r="E176" s="295"/>
      <c r="F176" s="22"/>
      <c r="G176" s="22"/>
      <c r="H176" s="22"/>
      <c r="I176" s="22"/>
      <c r="J176" s="22"/>
      <c r="K176" s="22"/>
      <c r="L176" s="22"/>
      <c r="M176" s="22"/>
      <c r="N176" s="22"/>
      <c r="O176" s="165"/>
      <c r="P176" s="165"/>
      <c r="Q176" s="165"/>
      <c r="R176" s="165"/>
      <c r="S176" s="79"/>
      <c r="T176" s="165"/>
      <c r="U176" s="165"/>
      <c r="V176" s="165"/>
      <c r="W176" s="165"/>
      <c r="X176" s="165"/>
      <c r="Y176" s="165"/>
      <c r="Z176" s="165"/>
      <c r="AA176" s="208"/>
      <c r="AB176" s="208"/>
      <c r="AC176" s="208"/>
      <c r="AD176" s="208"/>
      <c r="AE176" s="208"/>
      <c r="AF176" s="208"/>
      <c r="AG176" s="208"/>
      <c r="AH176" s="208"/>
      <c r="AI176" s="208"/>
      <c r="AJ176" s="208"/>
      <c r="AK176" s="41"/>
      <c r="AL176" s="223"/>
      <c r="AM176" s="243"/>
      <c r="AN176" s="235"/>
      <c r="AO176" s="235"/>
      <c r="AP176" s="235"/>
      <c r="AQ176" s="235"/>
      <c r="AR176" s="235"/>
      <c r="AS176" s="235"/>
      <c r="AT176" s="235"/>
      <c r="AU176" s="235"/>
      <c r="AV176" s="235"/>
      <c r="AW176" s="235"/>
      <c r="AX176" s="244"/>
      <c r="AY176" s="235"/>
      <c r="AZ176" s="235"/>
      <c r="BA176" s="235"/>
      <c r="BB176" s="235"/>
      <c r="BC176" s="235"/>
      <c r="BD176" s="235"/>
      <c r="BE176" s="235"/>
      <c r="BF176" s="235"/>
      <c r="BG176" s="235"/>
      <c r="BH176" s="235"/>
      <c r="BI176" s="235"/>
      <c r="BJ176" s="244"/>
      <c r="BK176" s="235"/>
      <c r="BL176" s="235"/>
      <c r="BM176" s="235"/>
      <c r="BN176" s="235"/>
      <c r="BO176" s="254"/>
      <c r="BP176" s="235"/>
      <c r="BQ176" s="235"/>
      <c r="BR176" s="235"/>
      <c r="BS176" s="235"/>
      <c r="BT176" s="235"/>
      <c r="BU176" s="235"/>
      <c r="BV176" s="244"/>
      <c r="BW176" s="235"/>
      <c r="BX176" s="235"/>
      <c r="BY176" s="235"/>
      <c r="BZ176" s="254"/>
      <c r="CA176" s="235"/>
      <c r="CB176" s="235"/>
      <c r="CC176" s="235"/>
      <c r="CD176" s="235"/>
      <c r="CE176" s="235"/>
      <c r="CF176" s="235"/>
      <c r="CG176" s="235"/>
      <c r="CH176" s="244"/>
      <c r="CI176" s="351"/>
      <c r="CJ176" s="235"/>
      <c r="CK176" s="235"/>
      <c r="CL176" s="233"/>
      <c r="CM176" s="235"/>
      <c r="CN176" s="235"/>
      <c r="CO176" s="235"/>
      <c r="CP176" s="235"/>
      <c r="CQ176" s="235"/>
      <c r="CR176" s="235"/>
      <c r="CS176" s="235"/>
      <c r="CT176" s="235"/>
    </row>
    <row r="177" spans="1:98" ht="15.75" thickBot="1" x14ac:dyDescent="0.3">
      <c r="A177" s="760"/>
      <c r="B177" s="280">
        <v>171</v>
      </c>
      <c r="C177" s="299" t="s">
        <v>657</v>
      </c>
      <c r="D177" s="300" t="s">
        <v>474</v>
      </c>
      <c r="E177" s="160"/>
      <c r="F177" s="21"/>
      <c r="G177" s="21"/>
      <c r="H177" s="21"/>
      <c r="I177" s="21"/>
      <c r="J177" s="21"/>
      <c r="K177" s="21"/>
      <c r="L177" s="21"/>
      <c r="M177" s="21"/>
      <c r="N177" s="21"/>
      <c r="O177" s="165"/>
      <c r="P177" s="165"/>
      <c r="Q177" s="23"/>
      <c r="R177" s="165"/>
      <c r="S177" s="165"/>
      <c r="T177" s="165"/>
      <c r="U177" s="165"/>
      <c r="V177" s="165"/>
      <c r="W177" s="165"/>
      <c r="X177" s="165"/>
      <c r="Y177" s="165"/>
      <c r="Z177" s="165"/>
      <c r="AA177" s="208"/>
      <c r="AB177" s="208"/>
      <c r="AC177" s="208"/>
      <c r="AD177" s="208"/>
      <c r="AE177" s="208"/>
      <c r="AF177" s="208"/>
      <c r="AG177" s="208"/>
      <c r="AH177" s="208"/>
      <c r="AI177" s="208"/>
      <c r="AJ177" s="208"/>
      <c r="AK177" s="208"/>
      <c r="AL177" s="223"/>
      <c r="AM177" s="243"/>
      <c r="AN177" s="235"/>
      <c r="AO177" s="235"/>
      <c r="AP177" s="235"/>
      <c r="AQ177" s="235"/>
      <c r="AR177" s="235"/>
      <c r="AS177" s="235"/>
      <c r="AT177" s="254"/>
      <c r="AU177" s="235"/>
      <c r="AV177" s="235"/>
      <c r="AW177" s="235"/>
      <c r="AX177" s="244"/>
      <c r="AY177" s="243"/>
      <c r="AZ177" s="235"/>
      <c r="BA177" s="235"/>
      <c r="BB177" s="235"/>
      <c r="BC177" s="235"/>
      <c r="BD177" s="235"/>
      <c r="BE177" s="235"/>
      <c r="BF177" s="254"/>
      <c r="BG177" s="235"/>
      <c r="BH177" s="235"/>
      <c r="BI177" s="235"/>
      <c r="BJ177" s="244"/>
      <c r="BK177" s="243"/>
      <c r="BL177" s="235"/>
      <c r="BM177" s="235"/>
      <c r="BN177" s="235"/>
      <c r="BO177" s="254"/>
      <c r="BP177" s="235"/>
      <c r="BQ177" s="235"/>
      <c r="BR177" s="235"/>
      <c r="BU177" s="235"/>
      <c r="BV177" s="124"/>
      <c r="BW177" s="235"/>
      <c r="BX177" s="235"/>
      <c r="BY177" s="235"/>
      <c r="BZ177" s="235"/>
      <c r="CA177" s="235"/>
      <c r="CB177" s="254"/>
      <c r="CC177" s="235"/>
      <c r="CD177" s="235"/>
      <c r="CE177" s="235"/>
      <c r="CF177" s="235"/>
      <c r="CG177" s="235"/>
      <c r="CH177" s="244"/>
      <c r="CI177" s="351"/>
      <c r="CJ177" s="235"/>
      <c r="CK177" s="235"/>
      <c r="CL177" s="235"/>
      <c r="CM177" s="235"/>
      <c r="CN177" s="233"/>
      <c r="CO177" s="235"/>
      <c r="CP177" s="235"/>
      <c r="CQ177" s="235"/>
      <c r="CR177" s="235"/>
      <c r="CS177" s="235"/>
      <c r="CT177" s="235"/>
    </row>
    <row r="178" spans="1:98" ht="15.75" thickBot="1" x14ac:dyDescent="0.3">
      <c r="A178" s="760"/>
      <c r="B178" s="280">
        <v>172</v>
      </c>
      <c r="C178" s="299" t="s">
        <v>658</v>
      </c>
      <c r="D178" s="300" t="s">
        <v>473</v>
      </c>
      <c r="E178" s="160"/>
      <c r="F178" s="21"/>
      <c r="G178" s="21"/>
      <c r="H178" s="21"/>
      <c r="I178" s="21"/>
      <c r="J178" s="21"/>
      <c r="K178" s="21"/>
      <c r="L178" s="21"/>
      <c r="M178" s="21"/>
      <c r="N178" s="21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208"/>
      <c r="AB178" s="208"/>
      <c r="AC178" s="208"/>
      <c r="AD178" s="208"/>
      <c r="AE178" s="41"/>
      <c r="AF178" s="208"/>
      <c r="AG178" s="208"/>
      <c r="AH178" s="208"/>
      <c r="AI178" s="208"/>
      <c r="AJ178" s="208"/>
      <c r="AK178" s="208"/>
      <c r="AL178" s="223"/>
      <c r="AM178" s="243"/>
      <c r="AN178" s="235"/>
      <c r="AO178" s="235"/>
      <c r="AP178" s="235"/>
      <c r="AQ178" s="235"/>
      <c r="AR178" s="235"/>
      <c r="AS178" s="235"/>
      <c r="AT178" s="254"/>
      <c r="AU178" s="235"/>
      <c r="AV178" s="235"/>
      <c r="AW178" s="235"/>
      <c r="AX178" s="244"/>
      <c r="AY178" s="243"/>
      <c r="AZ178" s="235"/>
      <c r="BA178" s="235"/>
      <c r="BB178" s="235"/>
      <c r="BC178" s="235"/>
      <c r="BD178" s="235"/>
      <c r="BE178" s="235"/>
      <c r="BF178" s="235"/>
      <c r="BG178" s="235"/>
      <c r="BH178" s="235"/>
      <c r="BI178" s="235"/>
      <c r="BJ178" s="244"/>
      <c r="BK178" s="243"/>
      <c r="BM178" s="235"/>
      <c r="BN178" s="235"/>
      <c r="BO178" s="254"/>
      <c r="BP178" s="235"/>
      <c r="BQ178" s="235"/>
      <c r="BR178" s="235"/>
      <c r="BS178" s="235"/>
      <c r="BT178" s="235"/>
      <c r="BU178" s="235"/>
      <c r="BV178" s="349"/>
      <c r="BW178" s="235"/>
      <c r="BX178" s="235"/>
      <c r="BY178" s="235"/>
      <c r="BZ178" s="235"/>
      <c r="CA178" s="235"/>
      <c r="CB178" s="254"/>
      <c r="CC178" s="235"/>
      <c r="CD178" s="235"/>
      <c r="CE178" s="235"/>
      <c r="CF178" s="235"/>
      <c r="CG178" s="235"/>
      <c r="CH178" s="244"/>
      <c r="CI178" s="351"/>
      <c r="CJ178" s="235"/>
      <c r="CK178" s="235"/>
      <c r="CL178" s="235"/>
      <c r="CM178" s="235"/>
      <c r="CN178" s="233"/>
      <c r="CO178" s="235"/>
      <c r="CP178" s="235"/>
      <c r="CQ178" s="235"/>
      <c r="CR178" s="235"/>
      <c r="CS178" s="235"/>
      <c r="CT178" s="235"/>
    </row>
    <row r="179" spans="1:98" ht="15.75" thickBot="1" x14ac:dyDescent="0.3">
      <c r="A179" s="760"/>
      <c r="B179" s="280">
        <v>173</v>
      </c>
      <c r="C179" s="299" t="s">
        <v>659</v>
      </c>
      <c r="D179" s="300" t="s">
        <v>475</v>
      </c>
      <c r="E179" s="160"/>
      <c r="F179" s="21"/>
      <c r="G179" s="21"/>
      <c r="H179" s="21"/>
      <c r="I179" s="21"/>
      <c r="J179" s="21"/>
      <c r="K179" s="21"/>
      <c r="L179" s="21"/>
      <c r="M179" s="21"/>
      <c r="N179" s="21"/>
      <c r="O179" s="165"/>
      <c r="P179" s="165"/>
      <c r="Q179" s="41"/>
      <c r="R179" s="165"/>
      <c r="S179" s="165"/>
      <c r="T179" s="165"/>
      <c r="U179" s="165"/>
      <c r="V179" s="165"/>
      <c r="W179" s="165"/>
      <c r="X179" s="165"/>
      <c r="Y179" s="165"/>
      <c r="Z179" s="165"/>
      <c r="AA179" s="208"/>
      <c r="AB179" s="208"/>
      <c r="AC179" s="257"/>
      <c r="AD179" s="208"/>
      <c r="AE179" s="41"/>
      <c r="AF179" s="208"/>
      <c r="AG179" s="208"/>
      <c r="AH179" s="208"/>
      <c r="AI179" s="208"/>
      <c r="AJ179" s="208"/>
      <c r="AK179" s="208"/>
      <c r="AL179" s="223"/>
      <c r="AM179" s="243"/>
      <c r="AN179" s="235"/>
      <c r="AO179" s="235"/>
      <c r="AP179" s="235"/>
      <c r="AQ179" s="235"/>
      <c r="AR179" s="235"/>
      <c r="AS179" s="235"/>
      <c r="AT179" s="254"/>
      <c r="AU179" s="235"/>
      <c r="AV179" s="235"/>
      <c r="AW179" s="235"/>
      <c r="AX179" s="244"/>
      <c r="AY179" s="243"/>
      <c r="AZ179" s="235"/>
      <c r="BA179" s="235"/>
      <c r="BB179" s="235"/>
      <c r="BC179" s="254"/>
      <c r="BD179" s="235"/>
      <c r="BE179" s="235"/>
      <c r="BF179" s="235"/>
      <c r="BG179" s="235"/>
      <c r="BH179" s="235"/>
      <c r="BI179" s="235"/>
      <c r="BJ179" s="244"/>
      <c r="BK179" s="243"/>
      <c r="BL179" s="235"/>
      <c r="BM179" s="235"/>
      <c r="BN179" s="235"/>
      <c r="BO179" s="254"/>
      <c r="BP179" s="235"/>
      <c r="BS179" s="345"/>
      <c r="BV179" s="254"/>
      <c r="BW179" s="235"/>
      <c r="BX179" s="235"/>
      <c r="BY179" s="235"/>
      <c r="BZ179" s="235"/>
      <c r="CA179" s="235"/>
      <c r="CB179" s="254"/>
      <c r="CC179" s="235"/>
      <c r="CD179" s="235"/>
      <c r="CE179" s="235"/>
      <c r="CF179" s="235"/>
      <c r="CG179" s="235"/>
      <c r="CH179" s="244"/>
      <c r="CI179" s="351"/>
      <c r="CJ179" s="235"/>
      <c r="CK179" s="235"/>
      <c r="CL179" s="235"/>
      <c r="CM179" s="235"/>
      <c r="CN179" s="233"/>
      <c r="CO179" s="235"/>
      <c r="CP179" s="235"/>
      <c r="CQ179" s="235"/>
      <c r="CR179" s="235"/>
      <c r="CS179" s="235"/>
      <c r="CT179" s="235"/>
    </row>
    <row r="180" spans="1:98" ht="15.75" thickBot="1" x14ac:dyDescent="0.3">
      <c r="A180" s="760"/>
      <c r="B180" s="280">
        <v>174</v>
      </c>
      <c r="C180" s="299" t="s">
        <v>660</v>
      </c>
      <c r="D180" s="300"/>
      <c r="E180" s="160"/>
      <c r="F180" s="21"/>
      <c r="G180" s="21"/>
      <c r="H180" s="21"/>
      <c r="I180" s="21"/>
      <c r="J180" s="21"/>
      <c r="K180" s="21"/>
      <c r="L180" s="21"/>
      <c r="M180" s="21"/>
      <c r="N180" s="21"/>
      <c r="O180" s="165"/>
      <c r="P180" s="165"/>
      <c r="Q180" s="23"/>
      <c r="R180" s="165"/>
      <c r="S180" s="165"/>
      <c r="T180" s="165"/>
      <c r="U180" s="165"/>
      <c r="V180" s="165"/>
      <c r="W180" s="165"/>
      <c r="X180" s="165"/>
      <c r="Y180" s="165"/>
      <c r="Z180" s="165"/>
      <c r="AA180" s="208"/>
      <c r="AB180" s="208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23"/>
      <c r="AM180" s="243"/>
      <c r="AN180" s="235"/>
      <c r="AQ180" s="235"/>
      <c r="AR180" s="254"/>
      <c r="AS180" s="235"/>
      <c r="AT180" s="235"/>
      <c r="AU180" s="235"/>
      <c r="AV180" s="235"/>
      <c r="AW180" s="235"/>
      <c r="AX180" s="244"/>
      <c r="AY180" s="243"/>
      <c r="AZ180" s="235"/>
      <c r="BA180" s="235"/>
      <c r="BB180" s="345"/>
      <c r="BC180" s="235"/>
      <c r="BD180" s="235"/>
      <c r="BE180" s="235"/>
      <c r="BF180" s="235"/>
      <c r="BG180" s="235"/>
      <c r="BH180" s="235"/>
      <c r="BI180" s="235"/>
      <c r="BJ180" s="244"/>
      <c r="BK180" s="243"/>
      <c r="BL180" s="235"/>
      <c r="BM180" s="345"/>
      <c r="BN180" s="345"/>
      <c r="BO180" s="235"/>
      <c r="BP180" s="235"/>
      <c r="BQ180" s="235"/>
      <c r="BR180" s="235"/>
      <c r="BS180" s="235"/>
      <c r="BT180" s="235"/>
      <c r="BU180" s="235"/>
      <c r="BV180" s="244"/>
      <c r="BW180" s="235"/>
      <c r="BX180" s="235"/>
      <c r="BY180" s="235"/>
      <c r="BZ180" s="235"/>
      <c r="CA180" s="235"/>
      <c r="CB180" s="235"/>
      <c r="CC180" s="235"/>
      <c r="CD180" s="235"/>
      <c r="CE180" s="235"/>
      <c r="CF180" s="235"/>
      <c r="CG180" s="235"/>
      <c r="CH180" s="244"/>
      <c r="CI180" s="351"/>
      <c r="CJ180" s="235"/>
      <c r="CK180" s="235"/>
      <c r="CL180" s="235"/>
      <c r="CM180" s="235"/>
      <c r="CN180" s="235"/>
      <c r="CO180" s="235"/>
      <c r="CP180" s="235"/>
      <c r="CQ180" s="235"/>
      <c r="CR180" s="235"/>
      <c r="CS180" s="235"/>
      <c r="CT180" s="235"/>
    </row>
    <row r="181" spans="1:98" ht="15.75" thickBot="1" x14ac:dyDescent="0.3">
      <c r="A181" s="760"/>
      <c r="B181" s="280">
        <v>175</v>
      </c>
      <c r="C181" s="299" t="s">
        <v>661</v>
      </c>
      <c r="D181" s="300" t="s">
        <v>476</v>
      </c>
      <c r="E181" s="160"/>
      <c r="F181" s="21"/>
      <c r="G181" s="21"/>
      <c r="H181" s="21"/>
      <c r="I181" s="21"/>
      <c r="J181" s="21"/>
      <c r="K181" s="21"/>
      <c r="L181" s="21"/>
      <c r="M181" s="21"/>
      <c r="N181" s="21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208"/>
      <c r="AB181" s="208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23"/>
      <c r="AM181" s="252"/>
      <c r="AN181" s="235"/>
      <c r="AO181" s="235"/>
      <c r="AP181" s="235"/>
      <c r="AQ181" s="235"/>
      <c r="AR181" s="235"/>
      <c r="AS181" s="235"/>
      <c r="AT181" s="235"/>
      <c r="AU181" s="235"/>
      <c r="AV181" s="235"/>
      <c r="AW181" s="235"/>
      <c r="AX181" s="244"/>
      <c r="AY181" s="243"/>
      <c r="AZ181" s="235"/>
      <c r="BA181" s="235"/>
      <c r="BB181" s="235"/>
      <c r="BC181" s="235"/>
      <c r="BD181" s="235"/>
      <c r="BE181" s="235"/>
      <c r="BF181" s="235"/>
      <c r="BG181" s="235"/>
      <c r="BH181" s="235"/>
      <c r="BI181" s="235"/>
      <c r="BJ181" s="244"/>
      <c r="BK181" s="243"/>
      <c r="BL181" s="235"/>
      <c r="BM181" s="235"/>
      <c r="BN181" s="235"/>
      <c r="BO181" s="235"/>
      <c r="BP181" s="235"/>
      <c r="BQ181" s="235"/>
      <c r="BR181" s="235"/>
      <c r="BS181" s="235"/>
      <c r="BT181" s="235"/>
      <c r="BU181" s="235"/>
      <c r="BV181" s="244"/>
      <c r="BW181" s="235"/>
      <c r="BX181" s="235"/>
      <c r="BY181" s="235"/>
      <c r="BZ181" s="235"/>
      <c r="CA181" s="254"/>
      <c r="CB181" s="235"/>
      <c r="CC181" s="235"/>
      <c r="CD181" s="235"/>
      <c r="CE181" s="235"/>
      <c r="CF181" s="235"/>
      <c r="CG181" s="235"/>
      <c r="CH181" s="244"/>
      <c r="CI181" s="351"/>
      <c r="CJ181" s="235"/>
      <c r="CK181" s="235"/>
      <c r="CL181" s="235"/>
      <c r="CM181" s="233"/>
      <c r="CN181" s="235"/>
      <c r="CO181" s="235"/>
      <c r="CP181" s="235"/>
      <c r="CQ181" s="235"/>
      <c r="CR181" s="235"/>
      <c r="CS181" s="235"/>
      <c r="CT181" s="235"/>
    </row>
    <row r="182" spans="1:98" ht="15.75" thickBot="1" x14ac:dyDescent="0.3">
      <c r="A182" s="760"/>
      <c r="B182" s="280">
        <v>176</v>
      </c>
      <c r="C182" s="299" t="s">
        <v>662</v>
      </c>
      <c r="D182" s="300" t="s">
        <v>477</v>
      </c>
      <c r="E182" s="160"/>
      <c r="F182" s="21"/>
      <c r="G182" s="21"/>
      <c r="H182" s="21"/>
      <c r="I182" s="21"/>
      <c r="J182" s="21"/>
      <c r="K182" s="21"/>
      <c r="L182" s="21"/>
      <c r="M182" s="21"/>
      <c r="N182" s="21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41"/>
      <c r="AB182" s="208"/>
      <c r="AC182" s="208"/>
      <c r="AD182" s="208"/>
      <c r="AE182" s="208"/>
      <c r="AF182" s="208"/>
      <c r="AG182" s="208"/>
      <c r="AH182" s="208"/>
      <c r="AI182" s="208"/>
      <c r="AJ182" s="208"/>
      <c r="AK182" s="208"/>
      <c r="AL182" s="223"/>
      <c r="AM182" s="243"/>
      <c r="AN182" s="259"/>
      <c r="AO182" s="254"/>
      <c r="AP182" s="235"/>
      <c r="AQ182" s="235"/>
      <c r="AR182" s="235"/>
      <c r="AS182" s="235"/>
      <c r="AT182" s="235"/>
      <c r="AU182" s="235"/>
      <c r="AV182" s="235"/>
      <c r="AW182" s="235"/>
      <c r="AX182" s="244"/>
      <c r="AY182" s="243"/>
      <c r="AZ182" s="235"/>
      <c r="BA182" s="235"/>
      <c r="BB182" s="235"/>
      <c r="BC182" s="254" t="s">
        <v>713</v>
      </c>
      <c r="BD182" s="235"/>
      <c r="BE182" s="235"/>
      <c r="BF182" s="235"/>
      <c r="BG182" s="235"/>
      <c r="BH182" s="235"/>
      <c r="BI182" s="235"/>
      <c r="BJ182" s="244"/>
      <c r="BK182" s="243"/>
      <c r="BL182" s="235"/>
      <c r="BM182" s="235"/>
      <c r="BN182" s="254"/>
      <c r="BO182" s="235"/>
      <c r="BP182" s="235"/>
      <c r="BQ182" s="235"/>
      <c r="BR182" s="235"/>
      <c r="BS182" s="235"/>
      <c r="BT182" s="235"/>
      <c r="BU182" s="235"/>
      <c r="BV182" s="244"/>
      <c r="BW182" s="235"/>
      <c r="BX182" s="235"/>
      <c r="BY182" s="235"/>
      <c r="BZ182" s="235"/>
      <c r="CA182" s="254"/>
      <c r="CB182" s="235"/>
      <c r="CC182" s="235"/>
      <c r="CD182" s="235"/>
      <c r="CE182" s="235"/>
      <c r="CF182" s="235"/>
      <c r="CG182" s="235"/>
      <c r="CH182" s="244"/>
      <c r="CI182" s="351"/>
      <c r="CJ182" s="235"/>
      <c r="CK182" s="235"/>
      <c r="CL182" s="235"/>
      <c r="CM182" s="233"/>
      <c r="CN182" s="235"/>
      <c r="CO182" s="235"/>
      <c r="CP182" s="235"/>
      <c r="CQ182" s="235"/>
      <c r="CR182" s="235"/>
      <c r="CS182" s="235"/>
      <c r="CT182" s="235"/>
    </row>
    <row r="183" spans="1:98" ht="15.75" thickBot="1" x14ac:dyDescent="0.3">
      <c r="A183" s="760"/>
      <c r="B183" s="280">
        <v>177</v>
      </c>
      <c r="C183" s="299" t="s">
        <v>663</v>
      </c>
      <c r="D183" s="300" t="s">
        <v>478</v>
      </c>
      <c r="E183" s="160"/>
      <c r="F183" s="21"/>
      <c r="G183" s="21"/>
      <c r="H183" s="21"/>
      <c r="I183" s="21"/>
      <c r="J183" s="21"/>
      <c r="K183" s="21"/>
      <c r="L183" s="21"/>
      <c r="M183" s="21"/>
      <c r="N183" s="21"/>
      <c r="O183" s="165"/>
      <c r="P183" s="165"/>
      <c r="Q183" s="165"/>
      <c r="R183" s="165"/>
      <c r="S183" s="165"/>
      <c r="T183" s="41"/>
      <c r="U183" s="165"/>
      <c r="V183" s="165"/>
      <c r="W183" s="165"/>
      <c r="X183" s="165"/>
      <c r="Y183" s="165"/>
      <c r="Z183" s="165"/>
      <c r="AA183" s="208"/>
      <c r="AB183" s="208"/>
      <c r="AC183" s="208"/>
      <c r="AD183" s="208"/>
      <c r="AE183" s="208"/>
      <c r="AF183" s="208"/>
      <c r="AG183" s="208"/>
      <c r="AH183" s="208"/>
      <c r="AI183" s="208"/>
      <c r="AJ183" s="128"/>
      <c r="AK183" s="208"/>
      <c r="AL183" s="223"/>
      <c r="AM183" s="243"/>
      <c r="AN183" s="235"/>
      <c r="AO183" s="235"/>
      <c r="AP183" s="235"/>
      <c r="AQ183" s="254" t="s">
        <v>743</v>
      </c>
      <c r="AR183" s="235"/>
      <c r="AS183" s="235"/>
      <c r="AT183" s="235"/>
      <c r="AU183" s="235"/>
      <c r="AW183" s="235"/>
      <c r="AX183" s="244"/>
      <c r="AY183" s="243"/>
      <c r="BB183" s="235"/>
      <c r="BD183" s="235"/>
      <c r="BE183" s="254" t="s">
        <v>911</v>
      </c>
      <c r="BF183" s="235"/>
      <c r="BG183" s="235"/>
      <c r="BH183" s="235"/>
      <c r="BI183" s="235"/>
      <c r="BJ183" s="244"/>
      <c r="BK183" s="243"/>
      <c r="BL183" s="235"/>
      <c r="BM183" s="235"/>
      <c r="BN183" s="235"/>
      <c r="BO183" s="345"/>
      <c r="BP183" s="235"/>
      <c r="BR183" s="254" t="s">
        <v>1108</v>
      </c>
      <c r="BS183" s="235"/>
      <c r="BT183" s="235"/>
      <c r="BU183" s="235"/>
      <c r="BV183" s="244"/>
      <c r="BW183" s="254" t="s">
        <v>1171</v>
      </c>
      <c r="BX183" s="235"/>
      <c r="BY183" s="254"/>
      <c r="BZ183" s="235"/>
      <c r="CA183" s="235"/>
      <c r="CB183" s="235"/>
      <c r="CC183" s="235"/>
      <c r="CD183" s="235"/>
      <c r="CE183" s="235"/>
      <c r="CF183" s="235"/>
      <c r="CG183" s="254"/>
      <c r="CH183" s="244"/>
      <c r="CI183" s="706"/>
      <c r="CJ183" s="235"/>
      <c r="CK183" s="259"/>
      <c r="CL183" s="235"/>
      <c r="CM183" s="235"/>
      <c r="CN183" s="235"/>
      <c r="CO183" s="235"/>
      <c r="CP183" s="235"/>
      <c r="CQ183" s="235"/>
      <c r="CR183" s="235"/>
      <c r="CS183" s="235"/>
      <c r="CT183" s="235"/>
    </row>
    <row r="184" spans="1:98" ht="15" customHeight="1" thickBot="1" x14ac:dyDescent="0.3">
      <c r="A184" s="760"/>
      <c r="B184" s="280">
        <v>178</v>
      </c>
      <c r="C184" s="299" t="s">
        <v>664</v>
      </c>
      <c r="D184" s="300" t="s">
        <v>479</v>
      </c>
      <c r="E184" s="160"/>
      <c r="F184" s="21"/>
      <c r="G184" s="21"/>
      <c r="H184" s="21"/>
      <c r="I184" s="21"/>
      <c r="J184" s="21"/>
      <c r="K184" s="21"/>
      <c r="L184" s="21"/>
      <c r="M184" s="21"/>
      <c r="N184" s="21"/>
      <c r="O184" s="165"/>
      <c r="P184" s="165"/>
      <c r="Q184" s="165"/>
      <c r="R184" s="165"/>
      <c r="S184" s="165"/>
      <c r="T184" s="41"/>
      <c r="U184" s="165"/>
      <c r="V184" s="165"/>
      <c r="W184" s="165"/>
      <c r="X184" s="165"/>
      <c r="Y184" s="165"/>
      <c r="Z184" s="165"/>
      <c r="AA184" s="208"/>
      <c r="AB184" s="208"/>
      <c r="AC184" s="208"/>
      <c r="AD184" s="208"/>
      <c r="AE184" s="208"/>
      <c r="AF184" s="208"/>
      <c r="AG184" s="208"/>
      <c r="AH184" s="208"/>
      <c r="AI184" s="208"/>
      <c r="AJ184" s="128"/>
      <c r="AK184" s="208"/>
      <c r="AL184" s="223"/>
      <c r="AM184" s="243"/>
      <c r="AN184" s="235"/>
      <c r="AO184" s="235"/>
      <c r="AP184" s="235"/>
      <c r="AQ184" s="235"/>
      <c r="AR184" s="254"/>
      <c r="AS184" s="235"/>
      <c r="AT184" s="235"/>
      <c r="AU184" s="235"/>
      <c r="AV184" s="235"/>
      <c r="AW184" s="235"/>
      <c r="AX184" s="349" t="s">
        <v>1038</v>
      </c>
      <c r="AY184" s="243"/>
      <c r="AZ184" s="235"/>
      <c r="BA184" s="235"/>
      <c r="BB184" s="235"/>
      <c r="BC184" s="235"/>
      <c r="BD184" s="235"/>
      <c r="BE184" s="235"/>
      <c r="BF184" s="235"/>
      <c r="BG184" s="235"/>
      <c r="BH184" s="235"/>
      <c r="BI184" s="235"/>
      <c r="BJ184" s="244"/>
      <c r="BK184" s="243"/>
      <c r="BL184" s="235"/>
      <c r="BM184" s="235"/>
      <c r="BN184" s="235"/>
      <c r="BO184" s="254"/>
      <c r="BP184" s="235"/>
      <c r="BQ184" s="235"/>
      <c r="BR184" s="235"/>
      <c r="BS184" s="235"/>
      <c r="BT184" s="235"/>
      <c r="BU184" s="235"/>
      <c r="BV184" s="244"/>
      <c r="BW184" s="235"/>
      <c r="BX184" s="235"/>
      <c r="BY184" s="235"/>
      <c r="BZ184" s="235"/>
      <c r="CA184" s="254"/>
      <c r="CB184" s="235"/>
      <c r="CC184" s="235"/>
      <c r="CD184" s="235"/>
      <c r="CE184" s="235"/>
      <c r="CF184" s="235"/>
      <c r="CG184" s="259"/>
      <c r="CH184" s="349"/>
      <c r="CI184" s="351"/>
      <c r="CJ184" s="235"/>
      <c r="CK184" s="235"/>
      <c r="CL184" s="235"/>
      <c r="CM184" s="233"/>
      <c r="CN184" s="235"/>
      <c r="CO184" s="235"/>
      <c r="CP184" s="235"/>
      <c r="CQ184" s="235"/>
      <c r="CR184" s="235"/>
      <c r="CS184" s="235"/>
      <c r="CT184" s="235"/>
    </row>
    <row r="185" spans="1:98" ht="15.75" thickBot="1" x14ac:dyDescent="0.3">
      <c r="A185" s="760"/>
      <c r="B185" s="280">
        <v>179</v>
      </c>
      <c r="C185" s="299" t="s">
        <v>665</v>
      </c>
      <c r="D185" s="300" t="s">
        <v>480</v>
      </c>
      <c r="E185" s="160"/>
      <c r="F185" s="21"/>
      <c r="G185" s="21"/>
      <c r="H185" s="21"/>
      <c r="I185" s="21"/>
      <c r="J185" s="21"/>
      <c r="K185" s="21"/>
      <c r="L185" s="21"/>
      <c r="M185" s="21"/>
      <c r="N185" s="21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208"/>
      <c r="AB185" s="208"/>
      <c r="AC185" s="208"/>
      <c r="AD185" s="208"/>
      <c r="AE185" s="208"/>
      <c r="AF185" s="208"/>
      <c r="AG185" s="208"/>
      <c r="AH185" s="208"/>
      <c r="AI185" s="208"/>
      <c r="AJ185" s="222"/>
      <c r="AK185" s="41"/>
      <c r="AL185" s="223"/>
      <c r="AM185" s="243"/>
      <c r="AN185" s="235"/>
      <c r="AO185" s="235"/>
      <c r="AP185" s="235"/>
      <c r="AQ185" s="235"/>
      <c r="AR185" s="254"/>
      <c r="AS185" s="235"/>
      <c r="AT185" s="235"/>
      <c r="AU185" s="235"/>
      <c r="AV185" s="235"/>
      <c r="AW185" s="235"/>
      <c r="AX185" s="244"/>
      <c r="AY185" s="243"/>
      <c r="AZ185" s="254" t="s">
        <v>1039</v>
      </c>
      <c r="BA185" s="235"/>
      <c r="BB185" s="235"/>
      <c r="BC185" s="235"/>
      <c r="BD185" s="235"/>
      <c r="BE185" s="235"/>
      <c r="BF185" s="235"/>
      <c r="BG185" s="235"/>
      <c r="BH185" s="235"/>
      <c r="BI185" s="235"/>
      <c r="BJ185" s="244"/>
      <c r="BK185" s="243"/>
      <c r="BL185" s="235"/>
      <c r="BM185" s="235"/>
      <c r="BN185" s="235"/>
      <c r="BO185" s="235"/>
      <c r="BP185" s="235"/>
      <c r="BQ185" s="235"/>
      <c r="BR185" s="254"/>
      <c r="BS185" s="235"/>
      <c r="BT185" s="235"/>
      <c r="BU185" s="235"/>
      <c r="BV185" s="244"/>
      <c r="BW185" s="254"/>
      <c r="BX185" s="235"/>
      <c r="BY185" s="259"/>
      <c r="BZ185" s="235"/>
      <c r="CA185" s="235"/>
      <c r="CB185" s="235"/>
      <c r="CC185" s="235"/>
      <c r="CD185" s="235"/>
      <c r="CE185" s="235"/>
      <c r="CF185" s="235"/>
      <c r="CG185" s="235"/>
      <c r="CH185" s="244"/>
      <c r="CI185" s="706"/>
      <c r="CJ185" s="235"/>
      <c r="CK185" s="233"/>
      <c r="CL185" s="235"/>
      <c r="CM185" s="235"/>
      <c r="CN185" s="235"/>
      <c r="CO185" s="235"/>
      <c r="CP185" s="235"/>
      <c r="CQ185" s="235"/>
      <c r="CR185" s="235"/>
      <c r="CS185" s="235"/>
      <c r="CT185" s="235"/>
    </row>
    <row r="186" spans="1:98" ht="15.75" thickBot="1" x14ac:dyDescent="0.3">
      <c r="A186" s="760"/>
      <c r="B186" s="280">
        <v>180</v>
      </c>
      <c r="C186" s="299" t="s">
        <v>666</v>
      </c>
      <c r="D186" s="300" t="s">
        <v>482</v>
      </c>
      <c r="E186" s="296"/>
      <c r="F186" s="218"/>
      <c r="G186" s="218"/>
      <c r="H186" s="218"/>
      <c r="I186" s="218"/>
      <c r="J186" s="218"/>
      <c r="K186" s="218"/>
      <c r="L186" s="218"/>
      <c r="M186" s="218"/>
      <c r="N186" s="218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208"/>
      <c r="AB186" s="208"/>
      <c r="AC186" s="208"/>
      <c r="AD186" s="208"/>
      <c r="AE186" s="208"/>
      <c r="AF186" s="208"/>
      <c r="AG186" s="208"/>
      <c r="AH186" s="208"/>
      <c r="AI186" s="208"/>
      <c r="AJ186" s="208"/>
      <c r="AK186" s="208"/>
      <c r="AL186" s="223"/>
      <c r="AM186" s="243"/>
      <c r="AN186" s="235"/>
      <c r="AO186" s="235"/>
      <c r="AP186" s="235"/>
      <c r="AQ186" s="235"/>
      <c r="AR186" s="254"/>
      <c r="AS186" s="235"/>
      <c r="AT186" s="235"/>
      <c r="AU186" s="235"/>
      <c r="AV186" s="235"/>
      <c r="AW186" s="235"/>
      <c r="AX186" s="244"/>
      <c r="AY186" s="243"/>
      <c r="AZ186" s="235"/>
      <c r="BA186" s="235"/>
      <c r="BB186" s="235"/>
      <c r="BC186" s="235"/>
      <c r="BD186" s="235"/>
      <c r="BE186" s="235"/>
      <c r="BF186" s="235"/>
      <c r="BG186" s="254" t="s">
        <v>1023</v>
      </c>
      <c r="BH186" s="235"/>
      <c r="BI186" s="235"/>
      <c r="BJ186" s="244"/>
      <c r="BK186" s="243"/>
      <c r="BL186" s="235"/>
      <c r="BM186" s="254"/>
      <c r="BN186" s="235"/>
      <c r="BO186" s="235"/>
      <c r="BP186" s="235"/>
      <c r="BQ186" s="235"/>
      <c r="BR186" s="235"/>
      <c r="BS186" s="235"/>
      <c r="BT186" s="235"/>
      <c r="BU186" s="235"/>
      <c r="BV186" s="244"/>
      <c r="BW186" s="235"/>
      <c r="BX186" s="235"/>
      <c r="BY186" s="235"/>
      <c r="BZ186" s="235"/>
      <c r="CA186" s="235"/>
      <c r="CB186" s="235"/>
      <c r="CC186" s="235"/>
      <c r="CD186" s="235"/>
      <c r="CE186" s="235"/>
      <c r="CF186" s="254"/>
      <c r="CG186" s="235"/>
      <c r="CH186" s="244"/>
      <c r="CI186" s="351"/>
      <c r="CJ186" s="235"/>
      <c r="CK186" s="235"/>
      <c r="CL186" s="235"/>
      <c r="CM186" s="235"/>
      <c r="CN186" s="235"/>
      <c r="CO186" s="235"/>
      <c r="CP186" s="235"/>
      <c r="CQ186" s="235"/>
      <c r="CR186" s="235"/>
      <c r="CS186" s="235"/>
      <c r="CT186" s="235"/>
    </row>
    <row r="187" spans="1:98" ht="15.75" thickBot="1" x14ac:dyDescent="0.3">
      <c r="A187" s="760"/>
      <c r="B187" s="280">
        <v>181</v>
      </c>
      <c r="C187" s="299" t="s">
        <v>667</v>
      </c>
      <c r="D187" s="300" t="s">
        <v>481</v>
      </c>
      <c r="E187" s="296"/>
      <c r="F187" s="218"/>
      <c r="G187" s="218"/>
      <c r="H187" s="218"/>
      <c r="I187" s="218"/>
      <c r="J187" s="218"/>
      <c r="K187" s="218"/>
      <c r="L187" s="218"/>
      <c r="M187" s="218"/>
      <c r="N187" s="218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208"/>
      <c r="AB187" s="208"/>
      <c r="AC187" s="208"/>
      <c r="AD187" s="208"/>
      <c r="AE187" s="208"/>
      <c r="AF187" s="208"/>
      <c r="AG187" s="208"/>
      <c r="AH187" s="208"/>
      <c r="AI187" s="208"/>
      <c r="AJ187" s="208"/>
      <c r="AK187" s="208"/>
      <c r="AL187" s="223"/>
      <c r="AM187" s="243"/>
      <c r="AN187" s="235"/>
      <c r="AO187" s="235"/>
      <c r="AP187" s="235"/>
      <c r="AQ187" s="235"/>
      <c r="AR187" s="254"/>
      <c r="AS187" s="235"/>
      <c r="AT187" s="235"/>
      <c r="AU187" s="235"/>
      <c r="AV187" s="235"/>
      <c r="AW187" s="235"/>
      <c r="AX187" s="244"/>
      <c r="AY187" s="243"/>
      <c r="AZ187" s="235"/>
      <c r="BA187" s="235"/>
      <c r="BB187" s="235"/>
      <c r="BC187" s="235"/>
      <c r="BD187" s="235"/>
      <c r="BE187" s="235"/>
      <c r="BF187" s="235"/>
      <c r="BG187" s="254" t="s">
        <v>1023</v>
      </c>
      <c r="BH187" s="235"/>
      <c r="BI187" s="235"/>
      <c r="BJ187" s="244"/>
      <c r="BK187" s="243"/>
      <c r="BL187" s="235"/>
      <c r="BM187" s="254"/>
      <c r="BN187" s="235"/>
      <c r="BO187" s="235"/>
      <c r="BP187" s="235"/>
      <c r="BQ187" s="235"/>
      <c r="BR187" s="235"/>
      <c r="BS187" s="235"/>
      <c r="BT187" s="235"/>
      <c r="BU187" s="235"/>
      <c r="BV187" s="244"/>
      <c r="BW187" s="235"/>
      <c r="BX187" s="235"/>
      <c r="BY187" s="235"/>
      <c r="BZ187" s="235"/>
      <c r="CA187" s="259"/>
      <c r="CB187" s="235"/>
      <c r="CC187" s="254"/>
      <c r="CD187" s="235"/>
      <c r="CE187" s="235"/>
      <c r="CF187" s="235"/>
      <c r="CG187" s="235"/>
      <c r="CH187" s="244"/>
      <c r="CI187" s="351"/>
      <c r="CJ187" s="235"/>
      <c r="CK187" s="235"/>
      <c r="CL187" s="235"/>
      <c r="CM187" s="259"/>
      <c r="CN187" s="235"/>
      <c r="CO187" s="233"/>
      <c r="CP187" s="235"/>
      <c r="CQ187" s="235"/>
      <c r="CR187" s="235"/>
      <c r="CS187" s="235"/>
      <c r="CT187" s="235"/>
    </row>
    <row r="188" spans="1:98" ht="30.75" thickBot="1" x14ac:dyDescent="0.3">
      <c r="A188" s="760"/>
      <c r="B188" s="280">
        <v>182</v>
      </c>
      <c r="C188" s="299" t="s">
        <v>668</v>
      </c>
      <c r="D188" s="300" t="s">
        <v>483</v>
      </c>
      <c r="E188" s="296"/>
      <c r="F188" s="218"/>
      <c r="G188" s="218"/>
      <c r="H188" s="218"/>
      <c r="I188" s="218"/>
      <c r="J188" s="218"/>
      <c r="K188" s="218"/>
      <c r="L188" s="218"/>
      <c r="M188" s="218"/>
      <c r="N188" s="218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208"/>
      <c r="AB188" s="208"/>
      <c r="AC188" s="208"/>
      <c r="AD188" s="208"/>
      <c r="AE188" s="208"/>
      <c r="AF188" s="208"/>
      <c r="AG188" s="208"/>
      <c r="AH188" s="208"/>
      <c r="AI188" s="208"/>
      <c r="AJ188" s="208"/>
      <c r="AK188" s="208"/>
      <c r="AL188" s="223"/>
      <c r="AM188" s="243"/>
      <c r="AN188" s="235"/>
      <c r="AO188" s="235"/>
      <c r="AP188" s="235"/>
      <c r="AQ188" s="235"/>
      <c r="AR188" s="254"/>
      <c r="AS188" s="235"/>
      <c r="AT188" s="235"/>
      <c r="AU188" s="235"/>
      <c r="AV188" s="235"/>
      <c r="AW188" s="235"/>
      <c r="AX188" s="244"/>
      <c r="AY188" s="243"/>
      <c r="AZ188" s="235"/>
      <c r="BA188" s="235"/>
      <c r="BB188" s="235"/>
      <c r="BC188" s="235"/>
      <c r="BD188" s="235"/>
      <c r="BE188" s="235"/>
      <c r="BF188" s="235"/>
      <c r="BG188" s="254" t="s">
        <v>1023</v>
      </c>
      <c r="BH188" s="235"/>
      <c r="BI188" s="235"/>
      <c r="BJ188" s="244"/>
      <c r="BK188" s="243"/>
      <c r="BL188" s="235"/>
      <c r="BM188" s="254"/>
      <c r="BN188" s="235"/>
      <c r="BO188" s="235"/>
      <c r="BP188" s="235"/>
      <c r="BQ188" s="235"/>
      <c r="BR188" s="235"/>
      <c r="BS188" s="235"/>
      <c r="BT188" s="235"/>
      <c r="BU188" s="235"/>
      <c r="BV188" s="244"/>
      <c r="BW188" s="235"/>
      <c r="BX188" s="235"/>
      <c r="BY188" s="235"/>
      <c r="BZ188" s="235"/>
      <c r="CA188" s="235"/>
      <c r="CB188" s="235"/>
      <c r="CC188" s="235"/>
      <c r="CD188" s="235"/>
      <c r="CE188" s="235"/>
      <c r="CF188" s="235"/>
      <c r="CG188" s="235"/>
      <c r="CH188" s="349"/>
      <c r="CI188" s="351"/>
      <c r="CJ188" s="235"/>
      <c r="CK188" s="235"/>
      <c r="CL188" s="235"/>
      <c r="CM188" s="235"/>
      <c r="CN188" s="235"/>
      <c r="CO188" s="235"/>
      <c r="CP188" s="235"/>
      <c r="CQ188" s="235"/>
      <c r="CR188" s="235"/>
      <c r="CS188" s="235"/>
      <c r="CT188" s="235"/>
    </row>
    <row r="189" spans="1:98" ht="15.75" thickBot="1" x14ac:dyDescent="0.3">
      <c r="A189" s="760"/>
      <c r="B189" s="280">
        <v>183</v>
      </c>
      <c r="C189" s="299" t="s">
        <v>669</v>
      </c>
      <c r="D189" s="300" t="s">
        <v>484</v>
      </c>
      <c r="E189" s="296"/>
      <c r="F189" s="218"/>
      <c r="G189" s="218"/>
      <c r="H189" s="218"/>
      <c r="I189" s="218"/>
      <c r="J189" s="218"/>
      <c r="K189" s="218"/>
      <c r="L189" s="218"/>
      <c r="M189" s="218"/>
      <c r="N189" s="218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208"/>
      <c r="AB189" s="208"/>
      <c r="AC189" s="208"/>
      <c r="AD189" s="208"/>
      <c r="AE189" s="208"/>
      <c r="AF189" s="208"/>
      <c r="AG189" s="208"/>
      <c r="AH189" s="208"/>
      <c r="AI189" s="208"/>
      <c r="AJ189" s="208"/>
      <c r="AK189" s="208"/>
      <c r="AL189" s="223"/>
      <c r="AM189" s="243"/>
      <c r="AN189" s="235"/>
      <c r="AO189" s="235"/>
      <c r="AP189" s="254" t="s">
        <v>702</v>
      </c>
      <c r="AQ189" s="235"/>
      <c r="AR189" s="235"/>
      <c r="AS189" s="235"/>
      <c r="AT189" s="235"/>
      <c r="AU189" s="235"/>
      <c r="AV189" s="235"/>
      <c r="AW189" s="235"/>
      <c r="AX189" s="244"/>
      <c r="AY189" s="243"/>
      <c r="AZ189" s="235"/>
      <c r="BA189" s="235"/>
      <c r="BB189" s="235" t="s">
        <v>702</v>
      </c>
      <c r="BC189" s="254"/>
      <c r="BD189" s="235"/>
      <c r="BE189" s="235"/>
      <c r="BF189" s="235"/>
      <c r="BG189" s="235"/>
      <c r="BH189" s="235"/>
      <c r="BI189" s="235"/>
      <c r="BJ189" s="244"/>
      <c r="BK189" s="243"/>
      <c r="BL189" s="235"/>
      <c r="BM189" s="235"/>
      <c r="BN189" s="235"/>
      <c r="BO189" s="235"/>
      <c r="BP189" s="235"/>
      <c r="BQ189" s="235"/>
      <c r="BR189" s="235"/>
      <c r="BS189" s="235"/>
      <c r="BT189" s="235"/>
      <c r="BU189" s="235"/>
      <c r="BV189" s="244"/>
      <c r="BW189" s="235"/>
      <c r="BX189" s="235"/>
      <c r="BY189" s="235"/>
      <c r="BZ189" s="235"/>
      <c r="CA189" s="235"/>
      <c r="CB189" s="235"/>
      <c r="CC189" s="235"/>
      <c r="CD189" s="235"/>
      <c r="CE189" s="235"/>
      <c r="CF189" s="235"/>
      <c r="CG189" s="235"/>
      <c r="CH189" s="244"/>
      <c r="CI189" s="708"/>
      <c r="CJ189" s="235"/>
      <c r="CK189" s="235"/>
      <c r="CL189" s="235"/>
      <c r="CM189" s="235"/>
      <c r="CN189" s="235"/>
      <c r="CO189" s="235"/>
      <c r="CP189" s="235"/>
      <c r="CQ189" s="235"/>
      <c r="CR189" s="235"/>
      <c r="CS189" s="235"/>
      <c r="CT189" s="235"/>
    </row>
    <row r="190" spans="1:98" ht="15.75" thickBot="1" x14ac:dyDescent="0.3">
      <c r="A190" s="760"/>
      <c r="B190" s="280">
        <v>184</v>
      </c>
      <c r="C190" s="299" t="s">
        <v>670</v>
      </c>
      <c r="D190" s="300" t="s">
        <v>677</v>
      </c>
      <c r="E190" s="296"/>
      <c r="F190" s="218"/>
      <c r="G190" s="218"/>
      <c r="H190" s="218"/>
      <c r="I190" s="218"/>
      <c r="J190" s="218"/>
      <c r="K190" s="218"/>
      <c r="L190" s="218"/>
      <c r="M190" s="218"/>
      <c r="N190" s="218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208"/>
      <c r="AB190" s="208"/>
      <c r="AC190" s="208"/>
      <c r="AD190" s="208"/>
      <c r="AE190" s="208"/>
      <c r="AF190" s="208"/>
      <c r="AG190" s="208"/>
      <c r="AH190" s="208"/>
      <c r="AI190" s="208"/>
      <c r="AJ190" s="208"/>
      <c r="AK190" s="208"/>
      <c r="AL190" s="223"/>
      <c r="AM190" s="243"/>
      <c r="AN190" s="235"/>
      <c r="AO190" s="235"/>
      <c r="AP190" s="254" t="s">
        <v>702</v>
      </c>
      <c r="AQ190" s="235"/>
      <c r="AR190" s="235"/>
      <c r="AS190" s="235"/>
      <c r="AT190" s="235"/>
      <c r="AU190" s="235"/>
      <c r="AV190" s="235"/>
      <c r="AW190" s="235"/>
      <c r="AX190" s="244"/>
      <c r="AY190" s="243"/>
      <c r="AZ190" s="235"/>
      <c r="BA190" s="235"/>
      <c r="BB190" s="235" t="s">
        <v>702</v>
      </c>
      <c r="BC190" s="254"/>
      <c r="BD190" s="235"/>
      <c r="BE190" s="235"/>
      <c r="BF190" s="235"/>
      <c r="BG190" s="235"/>
      <c r="BH190" s="235"/>
      <c r="BI190" s="235"/>
      <c r="BJ190" s="244"/>
      <c r="BK190" s="243"/>
      <c r="BL190" s="235"/>
      <c r="BM190" s="235"/>
      <c r="BN190" s="235"/>
      <c r="BO190" s="235"/>
      <c r="BP190" s="235"/>
      <c r="BQ190" s="235"/>
      <c r="BR190" s="235"/>
      <c r="BS190" s="235"/>
      <c r="BT190" s="235"/>
      <c r="BU190" s="235"/>
      <c r="BV190" s="244"/>
      <c r="BW190" s="254"/>
      <c r="BX190" s="235"/>
      <c r="BY190" s="235"/>
      <c r="BZ190" s="235"/>
      <c r="CA190" s="235"/>
      <c r="CB190" s="254"/>
      <c r="CC190" s="235"/>
      <c r="CD190" s="235"/>
      <c r="CE190" s="235"/>
      <c r="CF190" s="235"/>
      <c r="CG190" s="235"/>
      <c r="CH190" s="244"/>
      <c r="CI190" s="686"/>
      <c r="CJ190" s="235"/>
      <c r="CK190" s="235"/>
      <c r="CL190" s="235"/>
      <c r="CM190" s="235"/>
      <c r="CN190" s="233"/>
      <c r="CO190" s="235"/>
      <c r="CP190" s="235"/>
      <c r="CQ190" s="235"/>
      <c r="CR190" s="235"/>
      <c r="CS190" s="235"/>
      <c r="CT190" s="235"/>
    </row>
    <row r="191" spans="1:98" ht="15.75" thickBot="1" x14ac:dyDescent="0.3">
      <c r="A191" s="760"/>
      <c r="B191" s="280">
        <v>185</v>
      </c>
      <c r="C191" s="299" t="s">
        <v>671</v>
      </c>
      <c r="D191" s="300" t="s">
        <v>485</v>
      </c>
      <c r="E191" s="296"/>
      <c r="F191" s="218"/>
      <c r="G191" s="218"/>
      <c r="H191" s="218"/>
      <c r="I191" s="218"/>
      <c r="J191" s="218"/>
      <c r="K191" s="218"/>
      <c r="L191" s="218"/>
      <c r="M191" s="218"/>
      <c r="N191" s="218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208"/>
      <c r="AB191" s="208"/>
      <c r="AC191" s="208"/>
      <c r="AD191" s="208"/>
      <c r="AE191" s="208"/>
      <c r="AF191" s="208"/>
      <c r="AG191" s="208"/>
      <c r="AH191" s="208"/>
      <c r="AI191" s="208"/>
      <c r="AJ191" s="208"/>
      <c r="AK191" s="208"/>
      <c r="AL191" s="223"/>
      <c r="AM191" s="243"/>
      <c r="AN191" s="235"/>
      <c r="AO191" s="235"/>
      <c r="AP191" s="254" t="s">
        <v>702</v>
      </c>
      <c r="AQ191" s="235"/>
      <c r="AR191" s="235"/>
      <c r="AS191" s="235"/>
      <c r="AT191" s="235"/>
      <c r="AU191" s="235"/>
      <c r="AV191" s="235"/>
      <c r="AW191" s="235"/>
      <c r="AX191" s="244"/>
      <c r="AY191" s="243"/>
      <c r="AZ191" s="235"/>
      <c r="BA191" s="235"/>
      <c r="BB191" s="235" t="s">
        <v>702</v>
      </c>
      <c r="BC191" s="254"/>
      <c r="BD191" s="235"/>
      <c r="BE191" s="235"/>
      <c r="BF191" s="235"/>
      <c r="BG191" s="235"/>
      <c r="BH191" s="235"/>
      <c r="BI191" s="235"/>
      <c r="BJ191" s="244"/>
      <c r="BK191" s="243"/>
      <c r="BL191" s="235"/>
      <c r="BM191" s="235"/>
      <c r="BN191" s="235"/>
      <c r="BO191" s="235"/>
      <c r="BP191" s="235"/>
      <c r="BQ191" s="235"/>
      <c r="BR191" s="235"/>
      <c r="BS191" s="235"/>
      <c r="BT191" s="235"/>
      <c r="BU191" s="235"/>
      <c r="BV191" s="244"/>
      <c r="BW191" s="233"/>
      <c r="BX191" s="235"/>
      <c r="BY191" s="235"/>
      <c r="BZ191" s="235"/>
      <c r="CA191" s="235"/>
      <c r="CB191" s="235"/>
      <c r="CC191" s="235"/>
      <c r="CD191" s="235"/>
      <c r="CE191" s="235"/>
      <c r="CF191" s="235"/>
      <c r="CG191" s="235"/>
      <c r="CH191" s="244"/>
      <c r="CI191" s="686"/>
      <c r="CJ191" s="235"/>
      <c r="CK191" s="235"/>
      <c r="CL191" s="235"/>
      <c r="CM191" s="235"/>
      <c r="CN191" s="235"/>
      <c r="CO191" s="235"/>
      <c r="CP191" s="235"/>
      <c r="CQ191" s="235"/>
      <c r="CR191" s="235"/>
      <c r="CS191" s="235"/>
      <c r="CT191" s="235"/>
    </row>
    <row r="192" spans="1:98" ht="15.75" thickBot="1" x14ac:dyDescent="0.3">
      <c r="A192" s="760"/>
      <c r="B192" s="280">
        <v>186</v>
      </c>
      <c r="C192" s="299" t="s">
        <v>672</v>
      </c>
      <c r="D192" s="300" t="s">
        <v>486</v>
      </c>
      <c r="E192" s="296"/>
      <c r="F192" s="218"/>
      <c r="G192" s="218"/>
      <c r="H192" s="218"/>
      <c r="I192" s="218"/>
      <c r="J192" s="218"/>
      <c r="K192" s="218"/>
      <c r="L192" s="218"/>
      <c r="M192" s="218"/>
      <c r="N192" s="218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208"/>
      <c r="AB192" s="208"/>
      <c r="AC192" s="208"/>
      <c r="AD192" s="208"/>
      <c r="AE192" s="208"/>
      <c r="AF192" s="208"/>
      <c r="AG192" s="208"/>
      <c r="AH192" s="208"/>
      <c r="AI192" s="208"/>
      <c r="AJ192" s="208"/>
      <c r="AK192" s="208"/>
      <c r="AL192" s="223"/>
      <c r="AM192" s="243"/>
      <c r="AN192" s="235"/>
      <c r="AO192" s="235"/>
      <c r="AP192" s="254" t="s">
        <v>702</v>
      </c>
      <c r="AQ192" s="235"/>
      <c r="AR192" s="235"/>
      <c r="AS192" s="235"/>
      <c r="AT192" s="235"/>
      <c r="AU192" s="235"/>
      <c r="AV192" s="235"/>
      <c r="AW192" s="235"/>
      <c r="AX192" s="244"/>
      <c r="AY192" s="243"/>
      <c r="AZ192" s="235"/>
      <c r="BA192" s="235"/>
      <c r="BB192" s="235" t="s">
        <v>702</v>
      </c>
      <c r="BC192" s="254"/>
      <c r="BD192" s="235"/>
      <c r="BE192" s="235"/>
      <c r="BF192" s="235"/>
      <c r="BG192" s="235"/>
      <c r="BH192" s="235"/>
      <c r="BI192" s="235"/>
      <c r="BJ192" s="244"/>
      <c r="BK192" s="243"/>
      <c r="BL192" s="235"/>
      <c r="BM192" s="235"/>
      <c r="BN192" s="235"/>
      <c r="BO192" s="235"/>
      <c r="BP192" s="235"/>
      <c r="BQ192" s="235"/>
      <c r="BR192" s="235"/>
      <c r="BS192" s="235"/>
      <c r="BT192" s="235"/>
      <c r="BU192" s="235"/>
      <c r="BV192" s="244"/>
      <c r="BW192" s="233"/>
      <c r="BX192" s="235"/>
      <c r="BY192" s="235"/>
      <c r="BZ192" s="235"/>
      <c r="CA192" s="235"/>
      <c r="CB192" s="235"/>
      <c r="CC192" s="235"/>
      <c r="CD192" s="235"/>
      <c r="CE192" s="235"/>
      <c r="CF192" s="235"/>
      <c r="CG192" s="235"/>
      <c r="CH192" s="244"/>
      <c r="CI192" s="686"/>
      <c r="CJ192" s="235"/>
      <c r="CK192" s="235"/>
      <c r="CL192" s="235"/>
      <c r="CM192" s="235"/>
      <c r="CN192" s="235"/>
      <c r="CO192" s="235"/>
      <c r="CP192" s="235"/>
      <c r="CQ192" s="235"/>
      <c r="CR192" s="235"/>
      <c r="CS192" s="235"/>
      <c r="CT192" s="235"/>
    </row>
    <row r="193" spans="1:98" ht="15.75" thickBot="1" x14ac:dyDescent="0.3">
      <c r="A193" s="760"/>
      <c r="B193" s="280">
        <v>187</v>
      </c>
      <c r="C193" s="299" t="s">
        <v>673</v>
      </c>
      <c r="D193" s="300" t="s">
        <v>487</v>
      </c>
      <c r="E193" s="296"/>
      <c r="F193" s="218"/>
      <c r="G193" s="218"/>
      <c r="H193" s="218"/>
      <c r="I193" s="218"/>
      <c r="J193" s="218"/>
      <c r="K193" s="218"/>
      <c r="L193" s="218"/>
      <c r="M193" s="218"/>
      <c r="N193" s="218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208"/>
      <c r="AB193" s="208"/>
      <c r="AC193" s="208"/>
      <c r="AD193" s="208"/>
      <c r="AE193" s="208"/>
      <c r="AF193" s="208"/>
      <c r="AG193" s="208"/>
      <c r="AH193" s="208"/>
      <c r="AI193" s="208"/>
      <c r="AJ193" s="208"/>
      <c r="AK193" s="208"/>
      <c r="AL193" s="223"/>
      <c r="AM193" s="243"/>
      <c r="AN193" s="235"/>
      <c r="AO193" s="235"/>
      <c r="AP193" s="254" t="s">
        <v>702</v>
      </c>
      <c r="AQ193" s="235"/>
      <c r="AR193" s="235"/>
      <c r="AS193" s="235"/>
      <c r="AT193" s="235"/>
      <c r="AU193" s="235"/>
      <c r="AV193" s="235"/>
      <c r="AW193" s="235"/>
      <c r="AX193" s="244"/>
      <c r="AY193" s="243"/>
      <c r="AZ193" s="235"/>
      <c r="BA193" s="235"/>
      <c r="BB193" s="235" t="s">
        <v>702</v>
      </c>
      <c r="BC193" s="254"/>
      <c r="BD193" s="235"/>
      <c r="BE193" s="235"/>
      <c r="BF193" s="235"/>
      <c r="BG193" s="235"/>
      <c r="BH193" s="235"/>
      <c r="BI193" s="235"/>
      <c r="BJ193" s="244"/>
      <c r="BK193" s="243"/>
      <c r="BL193" s="235"/>
      <c r="BM193" s="235"/>
      <c r="BN193" s="235"/>
      <c r="BO193" s="235"/>
      <c r="BP193" s="235"/>
      <c r="BQ193" s="235"/>
      <c r="BR193" s="235"/>
      <c r="BS193" s="235"/>
      <c r="BT193" s="235"/>
      <c r="BU193" s="235"/>
      <c r="BV193" s="244"/>
      <c r="BW193" s="233"/>
      <c r="BX193" s="235"/>
      <c r="BY193" s="235"/>
      <c r="BZ193" s="235"/>
      <c r="CA193" s="235"/>
      <c r="CB193" s="235"/>
      <c r="CC193" s="235"/>
      <c r="CD193" s="235"/>
      <c r="CE193" s="235"/>
      <c r="CF193" s="235"/>
      <c r="CG193" s="235"/>
      <c r="CH193" s="244"/>
      <c r="CI193" s="686"/>
      <c r="CJ193" s="235"/>
      <c r="CK193" s="235"/>
      <c r="CL193" s="235"/>
      <c r="CM193" s="235"/>
      <c r="CN193" s="235"/>
      <c r="CO193" s="235"/>
      <c r="CP193" s="235"/>
      <c r="CQ193" s="235"/>
      <c r="CR193" s="235"/>
      <c r="CS193" s="235"/>
      <c r="CT193" s="235"/>
    </row>
    <row r="194" spans="1:98" ht="29.25" customHeight="1" thickBot="1" x14ac:dyDescent="0.3">
      <c r="A194" s="760"/>
      <c r="B194" s="280">
        <v>188</v>
      </c>
      <c r="C194" s="299" t="s">
        <v>674</v>
      </c>
      <c r="D194" s="300" t="s">
        <v>488</v>
      </c>
      <c r="E194" s="296"/>
      <c r="F194" s="218"/>
      <c r="G194" s="218"/>
      <c r="H194" s="218"/>
      <c r="I194" s="218"/>
      <c r="J194" s="218"/>
      <c r="K194" s="218"/>
      <c r="L194" s="218"/>
      <c r="M194" s="218"/>
      <c r="N194" s="218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208"/>
      <c r="AB194" s="208"/>
      <c r="AC194" s="208"/>
      <c r="AD194" s="208"/>
      <c r="AE194" s="208"/>
      <c r="AF194" s="208"/>
      <c r="AG194" s="208"/>
      <c r="AH194" s="208"/>
      <c r="AI194" s="208"/>
      <c r="AJ194" s="208"/>
      <c r="AK194" s="208"/>
      <c r="AL194" s="223"/>
      <c r="AM194" s="243"/>
      <c r="AN194" s="235"/>
      <c r="AO194" s="235"/>
      <c r="AP194" s="254" t="s">
        <v>702</v>
      </c>
      <c r="AQ194" s="235"/>
      <c r="AR194" s="235"/>
      <c r="AS194" s="235"/>
      <c r="AT194" s="235"/>
      <c r="AU194" s="235"/>
      <c r="AV194" s="235"/>
      <c r="AW194" s="235"/>
      <c r="AX194" s="244"/>
      <c r="AY194" s="243"/>
      <c r="AZ194" s="235"/>
      <c r="BA194" s="235"/>
      <c r="BB194" s="235" t="s">
        <v>702</v>
      </c>
      <c r="BC194" s="254"/>
      <c r="BD194" s="235"/>
      <c r="BE194" s="235"/>
      <c r="BF194" s="235"/>
      <c r="BG194" s="235"/>
      <c r="BH194" s="235"/>
      <c r="BI194" s="235"/>
      <c r="BJ194" s="244"/>
      <c r="BK194" s="243"/>
      <c r="BL194" s="235"/>
      <c r="BM194" s="235"/>
      <c r="BN194" s="235"/>
      <c r="BO194" s="235"/>
      <c r="BP194" s="235"/>
      <c r="BQ194" s="235"/>
      <c r="BR194" s="235"/>
      <c r="BS194" s="235"/>
      <c r="BT194" s="235"/>
      <c r="BU194" s="235"/>
      <c r="BV194" s="244"/>
      <c r="BW194" s="254"/>
      <c r="BX194" s="235"/>
      <c r="BY194" s="235"/>
      <c r="BZ194" s="235"/>
      <c r="CA194" s="235"/>
      <c r="CB194" s="235"/>
      <c r="CC194" s="235"/>
      <c r="CD194" s="235"/>
      <c r="CE194" s="235"/>
      <c r="CF194" s="235"/>
      <c r="CG194" s="235"/>
      <c r="CH194" s="244"/>
      <c r="CI194" s="686"/>
      <c r="CJ194" s="235"/>
      <c r="CK194" s="235"/>
      <c r="CL194" s="235"/>
      <c r="CM194" s="235"/>
      <c r="CN194" s="235"/>
      <c r="CO194" s="235"/>
      <c r="CP194" s="235"/>
      <c r="CQ194" s="235"/>
      <c r="CR194" s="235"/>
      <c r="CS194" s="235"/>
      <c r="CT194" s="235"/>
    </row>
    <row r="195" spans="1:98" ht="15.75" thickBot="1" x14ac:dyDescent="0.3">
      <c r="A195" s="760"/>
      <c r="B195" s="280">
        <v>189</v>
      </c>
      <c r="C195" s="299" t="s">
        <v>676</v>
      </c>
      <c r="D195" s="300" t="s">
        <v>675</v>
      </c>
      <c r="E195" s="296"/>
      <c r="F195" s="218"/>
      <c r="G195" s="218"/>
      <c r="H195" s="218"/>
      <c r="I195" s="218"/>
      <c r="J195" s="218"/>
      <c r="K195" s="218"/>
      <c r="L195" s="218"/>
      <c r="M195" s="218"/>
      <c r="N195" s="218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208"/>
      <c r="AB195" s="208"/>
      <c r="AC195" s="208"/>
      <c r="AD195" s="208"/>
      <c r="AE195" s="208"/>
      <c r="AF195" s="208"/>
      <c r="AG195" s="41"/>
      <c r="AH195" s="208"/>
      <c r="AI195" s="208"/>
      <c r="AJ195" s="208"/>
      <c r="AK195" s="208"/>
      <c r="AL195" s="223"/>
      <c r="AM195" s="243"/>
      <c r="AN195" s="235"/>
      <c r="AO195" s="235"/>
      <c r="AP195" s="235"/>
      <c r="AQ195" s="235"/>
      <c r="AR195" s="235"/>
      <c r="AV195" s="254"/>
      <c r="AW195" s="235"/>
      <c r="AX195" s="244"/>
      <c r="AY195" s="235"/>
      <c r="AZ195" s="235"/>
      <c r="BA195" s="235"/>
      <c r="BB195" s="235"/>
      <c r="BC195" s="235"/>
      <c r="BD195" s="235"/>
      <c r="BE195" s="235"/>
      <c r="BF195" s="235"/>
      <c r="BG195" s="235"/>
      <c r="BH195" s="235"/>
      <c r="BJ195" s="244"/>
      <c r="BK195" s="235"/>
      <c r="BL195" s="254"/>
      <c r="BM195" s="235"/>
      <c r="BN195" s="235"/>
      <c r="BO195" s="235"/>
      <c r="BP195" s="235"/>
      <c r="BQ195" s="235"/>
      <c r="BR195" s="235"/>
      <c r="BS195" s="235"/>
      <c r="BT195" s="235"/>
      <c r="BU195" s="235"/>
      <c r="BV195" s="244"/>
      <c r="BW195" s="235"/>
      <c r="BX195" s="235"/>
      <c r="BY195" s="235"/>
      <c r="BZ195" s="235"/>
      <c r="CA195" s="235"/>
      <c r="CB195" s="235"/>
      <c r="CC195" s="235"/>
      <c r="CD195" s="235"/>
      <c r="CE195" s="235"/>
      <c r="CF195" s="235"/>
      <c r="CG195" s="235"/>
      <c r="CH195" s="244"/>
      <c r="CI195" s="351"/>
      <c r="CJ195" s="235"/>
      <c r="CK195" s="235"/>
      <c r="CL195" s="235"/>
      <c r="CM195" s="235"/>
      <c r="CN195" s="235"/>
      <c r="CO195" s="235"/>
      <c r="CP195" s="235"/>
      <c r="CQ195" s="235"/>
      <c r="CR195" s="235"/>
      <c r="CS195" s="235"/>
      <c r="CT195" s="235"/>
    </row>
    <row r="196" spans="1:98" ht="15.75" thickBot="1" x14ac:dyDescent="0.3">
      <c r="A196" s="760"/>
      <c r="B196" s="280">
        <v>190</v>
      </c>
      <c r="C196" s="299" t="s">
        <v>681</v>
      </c>
      <c r="D196" s="300" t="s">
        <v>679</v>
      </c>
      <c r="E196" s="296"/>
      <c r="F196" s="218"/>
      <c r="G196" s="218"/>
      <c r="H196" s="218"/>
      <c r="I196" s="218"/>
      <c r="J196" s="218"/>
      <c r="K196" s="218"/>
      <c r="L196" s="218"/>
      <c r="M196" s="218"/>
      <c r="N196" s="218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208"/>
      <c r="AB196" s="208"/>
      <c r="AC196" s="208"/>
      <c r="AD196" s="208"/>
      <c r="AE196" s="208"/>
      <c r="AF196" s="208"/>
      <c r="AG196" s="208"/>
      <c r="AH196" s="208"/>
      <c r="AI196" s="208"/>
      <c r="AJ196" s="208"/>
      <c r="AK196" s="208"/>
      <c r="AL196" s="223"/>
      <c r="AM196" s="252"/>
      <c r="AN196" s="235"/>
      <c r="AO196" s="235"/>
      <c r="AP196" s="235"/>
      <c r="AQ196" s="235"/>
      <c r="AR196" s="235"/>
      <c r="AS196" s="235"/>
      <c r="AT196" s="235"/>
      <c r="AU196" s="235"/>
      <c r="AV196" s="235"/>
      <c r="AW196" s="235"/>
      <c r="AX196" s="244"/>
      <c r="AY196" s="243"/>
      <c r="AZ196" s="235"/>
      <c r="BA196" s="235"/>
      <c r="BB196" s="254"/>
      <c r="BC196" s="235"/>
      <c r="BD196" s="235"/>
      <c r="BE196" s="235"/>
      <c r="BF196" s="235"/>
      <c r="BG196" s="235"/>
      <c r="BH196" s="235"/>
      <c r="BI196" s="235"/>
      <c r="BJ196" s="244"/>
      <c r="BK196" s="243"/>
      <c r="BL196" s="235"/>
      <c r="BM196" s="235"/>
      <c r="BN196" s="235"/>
      <c r="BO196" s="235"/>
      <c r="BP196" s="254" t="s">
        <v>1094</v>
      </c>
      <c r="BQ196" s="235"/>
      <c r="BR196" s="235"/>
      <c r="BS196" s="235"/>
      <c r="BT196" s="235"/>
      <c r="BU196" s="235"/>
      <c r="BV196" s="244"/>
      <c r="BW196" s="235"/>
      <c r="BX196" s="235"/>
      <c r="BY196" s="235"/>
      <c r="BZ196" s="235"/>
      <c r="CA196" s="254"/>
      <c r="CB196" s="235"/>
      <c r="CC196" s="235"/>
      <c r="CD196" s="235"/>
      <c r="CE196" s="254"/>
      <c r="CF196" s="235"/>
      <c r="CG196" s="235"/>
      <c r="CH196" s="244"/>
      <c r="CI196" s="351"/>
      <c r="CJ196" s="235"/>
      <c r="CK196" s="254" t="s">
        <v>1454</v>
      </c>
      <c r="CL196" s="235"/>
      <c r="CM196" s="233"/>
      <c r="CN196" s="235"/>
      <c r="CO196" s="235"/>
      <c r="CP196" s="235"/>
      <c r="CQ196" s="233"/>
      <c r="CR196" s="235"/>
      <c r="CS196" s="235"/>
      <c r="CT196" s="235"/>
    </row>
    <row r="197" spans="1:98" ht="15.75" thickBot="1" x14ac:dyDescent="0.3">
      <c r="A197" s="760"/>
      <c r="B197" s="280">
        <v>191</v>
      </c>
      <c r="C197" s="299" t="s">
        <v>682</v>
      </c>
      <c r="D197" s="300" t="s">
        <v>680</v>
      </c>
      <c r="E197" s="296"/>
      <c r="F197" s="218"/>
      <c r="G197" s="218"/>
      <c r="H197" s="218"/>
      <c r="I197" s="218"/>
      <c r="J197" s="218"/>
      <c r="K197" s="218"/>
      <c r="L197" s="218"/>
      <c r="M197" s="218"/>
      <c r="N197" s="218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208"/>
      <c r="AB197" s="208"/>
      <c r="AC197" s="208"/>
      <c r="AD197" s="208"/>
      <c r="AE197" s="208"/>
      <c r="AF197" s="208"/>
      <c r="AG197" s="208"/>
      <c r="AH197" s="208"/>
      <c r="AI197" s="208"/>
      <c r="AJ197" s="41"/>
      <c r="AK197" s="208"/>
      <c r="AL197" s="223"/>
      <c r="AM197" s="243"/>
      <c r="AN197" s="235"/>
      <c r="AO197" s="235"/>
      <c r="AP197" s="235"/>
      <c r="AQ197" s="235"/>
      <c r="AR197" s="235"/>
      <c r="AS197" s="235"/>
      <c r="AT197" s="235"/>
      <c r="AU197" s="235"/>
      <c r="AV197" s="235"/>
      <c r="AW197" s="235"/>
      <c r="AX197" s="244"/>
      <c r="AY197" s="243"/>
      <c r="AZ197" s="235"/>
      <c r="BA197" s="235"/>
      <c r="BB197" s="235"/>
      <c r="BC197" s="235"/>
      <c r="BD197" s="235"/>
      <c r="BE197" s="235"/>
      <c r="BF197" s="235"/>
      <c r="BG197" s="235"/>
      <c r="BH197" s="235"/>
      <c r="BI197" s="235"/>
      <c r="BJ197" s="244"/>
      <c r="BK197" s="243"/>
      <c r="BL197" s="235"/>
      <c r="BM197" s="235"/>
      <c r="BN197" s="235"/>
      <c r="BO197" s="235"/>
      <c r="BP197" s="235"/>
      <c r="BQ197" s="235"/>
      <c r="BR197" s="235"/>
      <c r="BS197" s="235"/>
      <c r="BT197" s="235"/>
      <c r="BU197" s="235"/>
      <c r="BV197" s="244"/>
      <c r="BW197" s="235"/>
      <c r="BX197" s="235"/>
      <c r="BY197" s="235"/>
      <c r="BZ197" s="235"/>
      <c r="CA197" s="235"/>
      <c r="CB197" s="235"/>
      <c r="CC197" s="235"/>
      <c r="CD197" s="235"/>
      <c r="CE197" s="235"/>
      <c r="CF197" s="235"/>
      <c r="CG197" s="235"/>
      <c r="CH197" s="244"/>
      <c r="CI197" s="351"/>
      <c r="CJ197" s="235"/>
      <c r="CK197" s="235"/>
      <c r="CL197" s="235"/>
      <c r="CM197" s="235"/>
      <c r="CN197" s="235"/>
      <c r="CO197" s="235"/>
      <c r="CP197" s="235"/>
      <c r="CQ197" s="235"/>
      <c r="CR197" s="235"/>
      <c r="CS197" s="235"/>
      <c r="CT197" s="235"/>
    </row>
    <row r="198" spans="1:98" ht="15.75" thickBot="1" x14ac:dyDescent="0.3">
      <c r="A198" s="760"/>
      <c r="B198" s="280">
        <v>192</v>
      </c>
      <c r="C198" s="299" t="s">
        <v>685</v>
      </c>
      <c r="D198" s="300" t="s">
        <v>683</v>
      </c>
      <c r="E198" s="296"/>
      <c r="F198" s="218"/>
      <c r="G198" s="218"/>
      <c r="H198" s="218"/>
      <c r="I198" s="218"/>
      <c r="J198" s="218"/>
      <c r="K198" s="218"/>
      <c r="L198" s="218"/>
      <c r="M198" s="218"/>
      <c r="N198" s="218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208"/>
      <c r="AB198" s="208"/>
      <c r="AC198" s="208"/>
      <c r="AD198" s="208"/>
      <c r="AE198" s="208"/>
      <c r="AF198" s="208"/>
      <c r="AG198" s="208"/>
      <c r="AH198" s="208"/>
      <c r="AI198" s="208"/>
      <c r="AJ198" s="208"/>
      <c r="AK198" s="208"/>
      <c r="AL198" s="223"/>
      <c r="AM198" s="243"/>
      <c r="AN198" s="235"/>
      <c r="AO198" s="259"/>
      <c r="AP198" s="235"/>
      <c r="AQ198" s="235"/>
      <c r="AR198" s="235"/>
      <c r="AS198" s="235"/>
      <c r="AT198" s="235"/>
      <c r="AU198" s="235"/>
      <c r="AV198" s="254"/>
      <c r="AW198" s="235"/>
      <c r="AX198" s="244"/>
      <c r="AY198" s="243"/>
      <c r="AZ198" s="235"/>
      <c r="BA198" s="235"/>
      <c r="BB198" s="235"/>
      <c r="BC198" s="235"/>
      <c r="BD198" s="235"/>
      <c r="BE198" s="235"/>
      <c r="BF198" s="235"/>
      <c r="BG198" s="235"/>
      <c r="BH198" s="235"/>
      <c r="BI198" s="235"/>
      <c r="BJ198" s="244"/>
      <c r="BK198" s="243"/>
      <c r="BL198" s="235"/>
      <c r="BM198" s="235"/>
      <c r="BN198" s="235"/>
      <c r="BO198" s="235"/>
      <c r="BP198" s="235"/>
      <c r="BQ198" s="235"/>
      <c r="BR198" s="235"/>
      <c r="BS198" s="235"/>
      <c r="BT198" s="235"/>
      <c r="BU198" s="235"/>
      <c r="BV198" s="244"/>
      <c r="BW198" s="235"/>
      <c r="BX198" s="235"/>
      <c r="BY198" s="235"/>
      <c r="BZ198" s="235"/>
      <c r="CA198" s="235"/>
      <c r="CB198" s="235"/>
      <c r="CC198" s="235"/>
      <c r="CD198" s="235"/>
      <c r="CE198" s="235"/>
      <c r="CF198" s="235"/>
      <c r="CG198" s="235"/>
      <c r="CH198" s="244"/>
      <c r="CI198" s="351"/>
      <c r="CJ198" s="235"/>
      <c r="CK198" s="235"/>
      <c r="CL198" s="235"/>
      <c r="CM198" s="235"/>
      <c r="CN198" s="235"/>
      <c r="CO198" s="235"/>
      <c r="CP198" s="235"/>
      <c r="CQ198" s="235"/>
      <c r="CR198" s="235"/>
      <c r="CS198" s="235"/>
      <c r="CT198" s="235"/>
    </row>
    <row r="199" spans="1:98" ht="15.75" thickBot="1" x14ac:dyDescent="0.3">
      <c r="A199" s="760"/>
      <c r="B199" s="280">
        <v>193</v>
      </c>
      <c r="C199" s="299" t="s">
        <v>686</v>
      </c>
      <c r="D199" s="300" t="s">
        <v>701</v>
      </c>
      <c r="E199" s="296"/>
      <c r="F199" s="218"/>
      <c r="G199" s="218"/>
      <c r="H199" s="218"/>
      <c r="I199" s="218"/>
      <c r="J199" s="218"/>
      <c r="K199" s="218"/>
      <c r="L199" s="218"/>
      <c r="M199" s="218"/>
      <c r="N199" s="218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208"/>
      <c r="AB199" s="208"/>
      <c r="AC199" s="208"/>
      <c r="AD199" s="208"/>
      <c r="AE199" s="208"/>
      <c r="AF199" s="208"/>
      <c r="AG199" s="208"/>
      <c r="AH199" s="208"/>
      <c r="AI199" s="208"/>
      <c r="AJ199" s="208"/>
      <c r="AK199" s="208"/>
      <c r="AL199" s="223"/>
      <c r="AM199" s="243"/>
      <c r="AN199" s="235"/>
      <c r="AP199" s="235"/>
      <c r="AQ199" s="235"/>
      <c r="AR199" s="388"/>
      <c r="AS199" s="235"/>
      <c r="AT199" s="235"/>
      <c r="AU199" s="235"/>
      <c r="AV199" s="235"/>
      <c r="AW199" s="235"/>
      <c r="AX199" s="244"/>
      <c r="AY199" s="243"/>
      <c r="AZ199" s="235"/>
      <c r="BA199" s="235"/>
      <c r="BB199" s="235"/>
      <c r="BC199" s="235"/>
      <c r="BD199" s="235"/>
      <c r="BE199" s="235"/>
      <c r="BF199" s="235"/>
      <c r="BG199" s="235"/>
      <c r="BH199" s="235"/>
      <c r="BI199" s="235"/>
      <c r="BJ199" s="244"/>
      <c r="BK199" s="243"/>
      <c r="BL199" s="235"/>
      <c r="BM199" s="235"/>
      <c r="BN199" s="235"/>
      <c r="BO199" s="235"/>
      <c r="BP199" s="235"/>
      <c r="BQ199" s="235"/>
      <c r="BR199" s="235"/>
      <c r="BS199" s="235"/>
      <c r="BT199" s="235"/>
      <c r="BU199" s="235"/>
      <c r="BV199" s="244"/>
      <c r="BW199" s="235"/>
      <c r="BX199" s="235"/>
      <c r="BY199" s="235"/>
      <c r="BZ199" s="235"/>
      <c r="CA199" s="235"/>
      <c r="CB199" s="235"/>
      <c r="CC199" s="235"/>
      <c r="CD199" s="235"/>
      <c r="CE199" s="235"/>
      <c r="CF199" s="235"/>
      <c r="CG199" s="235"/>
      <c r="CH199" s="244"/>
      <c r="CI199" s="351"/>
      <c r="CJ199" s="235"/>
      <c r="CK199" s="235"/>
      <c r="CL199" s="235"/>
      <c r="CM199" s="235"/>
      <c r="CN199" s="235"/>
      <c r="CO199" s="235"/>
      <c r="CP199" s="235"/>
      <c r="CQ199" s="235"/>
      <c r="CR199" s="235"/>
      <c r="CS199" s="235"/>
      <c r="CT199" s="235"/>
    </row>
    <row r="200" spans="1:98" ht="15.75" thickBot="1" x14ac:dyDescent="0.3">
      <c r="A200" s="760"/>
      <c r="B200" s="280">
        <v>194</v>
      </c>
      <c r="C200" s="299" t="s">
        <v>687</v>
      </c>
      <c r="D200" s="300" t="s">
        <v>684</v>
      </c>
      <c r="E200" s="296"/>
      <c r="F200" s="218"/>
      <c r="G200" s="218"/>
      <c r="H200" s="218"/>
      <c r="I200" s="218"/>
      <c r="J200" s="218"/>
      <c r="K200" s="218"/>
      <c r="L200" s="218"/>
      <c r="M200" s="218"/>
      <c r="N200" s="218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208"/>
      <c r="AB200" s="208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23"/>
      <c r="AM200" s="243"/>
      <c r="AN200" s="235"/>
      <c r="AO200" s="235"/>
      <c r="AP200" s="235"/>
      <c r="AR200" s="388"/>
      <c r="AS200" s="235"/>
      <c r="AT200" s="235"/>
      <c r="AU200" s="235"/>
      <c r="AV200" s="235"/>
      <c r="AW200" s="235"/>
      <c r="AX200" s="244"/>
      <c r="AY200" s="243"/>
      <c r="AZ200" s="235"/>
      <c r="BB200" s="235"/>
      <c r="BC200" s="345"/>
      <c r="BD200" s="235"/>
      <c r="BE200" s="235"/>
      <c r="BF200" s="235"/>
      <c r="BG200" s="235"/>
      <c r="BH200" s="235"/>
      <c r="BI200" s="235"/>
      <c r="BJ200" s="244"/>
      <c r="BK200" s="243"/>
      <c r="BL200" s="235"/>
      <c r="BM200" s="235"/>
      <c r="BN200" s="235"/>
      <c r="BO200" s="345"/>
      <c r="BP200" s="235"/>
      <c r="BQ200" s="235"/>
      <c r="BR200" s="235"/>
      <c r="BS200" s="235"/>
      <c r="BT200" s="235"/>
      <c r="BU200" s="235"/>
      <c r="BV200" s="244"/>
      <c r="BW200" s="235"/>
      <c r="BX200" s="235"/>
      <c r="BY200" s="235"/>
      <c r="BZ200" s="235"/>
      <c r="CA200" s="235"/>
      <c r="CB200" s="235"/>
      <c r="CC200" s="235"/>
      <c r="CD200" s="235"/>
      <c r="CE200" s="235"/>
      <c r="CF200" s="235"/>
      <c r="CG200" s="235"/>
      <c r="CH200" s="244"/>
      <c r="CI200" s="351"/>
      <c r="CJ200" s="235"/>
      <c r="CK200" s="235"/>
      <c r="CL200" s="235"/>
      <c r="CM200" s="235"/>
      <c r="CN200" s="235"/>
      <c r="CO200" s="235"/>
      <c r="CP200" s="235"/>
      <c r="CQ200" s="235"/>
      <c r="CR200" s="235"/>
      <c r="CS200" s="235"/>
      <c r="CT200" s="235"/>
    </row>
    <row r="201" spans="1:98" ht="15.75" thickBot="1" x14ac:dyDescent="0.3">
      <c r="A201" s="760"/>
      <c r="B201" s="280">
        <v>195</v>
      </c>
      <c r="C201" s="299" t="s">
        <v>689</v>
      </c>
      <c r="D201" s="300" t="s">
        <v>688</v>
      </c>
      <c r="E201" s="296"/>
      <c r="F201" s="218"/>
      <c r="G201" s="218"/>
      <c r="H201" s="218"/>
      <c r="I201" s="218"/>
      <c r="J201" s="218"/>
      <c r="K201" s="218"/>
      <c r="L201" s="218"/>
      <c r="M201" s="218"/>
      <c r="N201" s="218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208"/>
      <c r="AB201" s="208"/>
      <c r="AC201" s="208"/>
      <c r="AD201" s="208"/>
      <c r="AE201" s="208"/>
      <c r="AF201" s="208"/>
      <c r="AG201" s="208"/>
      <c r="AH201" s="208"/>
      <c r="AI201" s="208"/>
      <c r="AJ201" s="208"/>
      <c r="AK201" s="208"/>
      <c r="AL201" s="223"/>
      <c r="AM201" s="243"/>
      <c r="AN201" s="235"/>
      <c r="AO201" s="235"/>
      <c r="AP201" s="235"/>
      <c r="AQ201" s="235"/>
      <c r="AR201" s="254"/>
      <c r="AS201" s="235"/>
      <c r="AT201" s="235"/>
      <c r="AU201" s="235"/>
      <c r="AV201" s="235"/>
      <c r="AW201" s="235"/>
      <c r="AX201" s="244"/>
      <c r="AY201" s="243"/>
      <c r="AZ201" s="235"/>
      <c r="BA201" s="254"/>
      <c r="BB201" s="235"/>
      <c r="BC201" s="235"/>
      <c r="BD201" s="235"/>
      <c r="BE201" s="235"/>
      <c r="BF201" s="235"/>
      <c r="BG201" s="235"/>
      <c r="BH201" s="235"/>
      <c r="BI201" s="235"/>
      <c r="BJ201" s="244"/>
      <c r="BK201" s="243"/>
      <c r="BL201" s="235"/>
      <c r="BM201" s="235"/>
      <c r="BN201" s="235"/>
      <c r="BO201" s="235"/>
      <c r="BP201" s="254"/>
      <c r="BR201" s="235"/>
      <c r="BS201" s="235"/>
      <c r="BT201" s="235"/>
      <c r="BU201" s="235"/>
      <c r="BV201" s="244"/>
      <c r="BW201" s="235"/>
      <c r="BX201" s="235"/>
      <c r="BY201" s="235"/>
      <c r="BZ201" s="235"/>
      <c r="CA201" s="235"/>
      <c r="CB201" s="259"/>
      <c r="CC201" s="235"/>
      <c r="CD201" s="235"/>
      <c r="CE201" s="235"/>
      <c r="CF201" s="235"/>
      <c r="CG201" s="235"/>
      <c r="CH201" s="244"/>
      <c r="CI201" s="351"/>
      <c r="CJ201" s="235"/>
      <c r="CK201" s="235"/>
      <c r="CL201" s="235"/>
      <c r="CM201" s="235"/>
      <c r="CN201" s="259"/>
      <c r="CO201" s="235"/>
      <c r="CP201" s="235"/>
      <c r="CQ201" s="235"/>
      <c r="CR201" s="235"/>
      <c r="CS201" s="235"/>
      <c r="CT201" s="235"/>
    </row>
    <row r="202" spans="1:98" ht="15.75" thickBot="1" x14ac:dyDescent="0.3">
      <c r="A202" s="760"/>
      <c r="B202" s="280">
        <v>196</v>
      </c>
      <c r="C202" s="299" t="s">
        <v>697</v>
      </c>
      <c r="D202" s="300" t="s">
        <v>693</v>
      </c>
      <c r="E202" s="296"/>
      <c r="F202" s="218"/>
      <c r="G202" s="218"/>
      <c r="H202" s="218"/>
      <c r="I202" s="218"/>
      <c r="J202" s="218"/>
      <c r="K202" s="218"/>
      <c r="L202" s="218"/>
      <c r="M202" s="218"/>
      <c r="N202" s="218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208"/>
      <c r="AB202" s="208"/>
      <c r="AC202" s="41"/>
      <c r="AD202" s="208"/>
      <c r="AE202" s="208"/>
      <c r="AF202" s="208"/>
      <c r="AG202" s="208"/>
      <c r="AH202" s="208"/>
      <c r="AI202" s="208"/>
      <c r="AJ202" s="208"/>
      <c r="AK202" s="208"/>
      <c r="AL202" s="223"/>
      <c r="AM202" s="263"/>
      <c r="AN202" s="258"/>
      <c r="AP202" s="41"/>
      <c r="AQ202" s="258"/>
      <c r="AR202" s="258"/>
      <c r="AS202" s="258"/>
      <c r="AT202" s="258"/>
      <c r="AU202" s="258"/>
      <c r="AV202" s="258"/>
      <c r="AW202" s="258"/>
      <c r="AX202" s="264"/>
      <c r="AY202" s="347"/>
      <c r="AZ202" s="346"/>
      <c r="BA202" s="124"/>
      <c r="BB202" s="346"/>
      <c r="BC202" s="346"/>
      <c r="BD202" s="346"/>
      <c r="BE202" s="346"/>
      <c r="BF202" s="346"/>
      <c r="BG202" s="346"/>
      <c r="BH202" s="346"/>
      <c r="BI202" s="346"/>
      <c r="BJ202" s="348"/>
      <c r="BK202" s="347"/>
      <c r="BL202" s="346"/>
      <c r="BM202" s="235"/>
      <c r="BN202" s="346"/>
      <c r="BO202" s="346"/>
      <c r="BP202" s="346"/>
      <c r="BQ202" s="254"/>
      <c r="BR202" s="346"/>
      <c r="BS202" s="346"/>
      <c r="BT202" s="346"/>
      <c r="BU202" s="346"/>
      <c r="BV202" s="348"/>
      <c r="BW202" s="235"/>
      <c r="BX202" s="235"/>
      <c r="BY202" s="235"/>
      <c r="BZ202" s="235"/>
      <c r="CA202" s="235"/>
      <c r="CB202" s="254"/>
      <c r="CC202" s="235"/>
      <c r="CD202" s="235"/>
      <c r="CE202" s="235"/>
      <c r="CF202" s="235"/>
      <c r="CG202" s="235"/>
      <c r="CH202" s="244"/>
      <c r="CI202" s="351"/>
      <c r="CJ202" s="235"/>
      <c r="CK202" s="235"/>
      <c r="CL202" s="235"/>
      <c r="CM202" s="235"/>
      <c r="CN202" s="233"/>
      <c r="CO202" s="235"/>
      <c r="CP202" s="235"/>
      <c r="CQ202" s="235"/>
      <c r="CR202" s="235"/>
      <c r="CS202" s="235"/>
      <c r="CT202" s="235"/>
    </row>
    <row r="203" spans="1:98" ht="15.75" thickBot="1" x14ac:dyDescent="0.3">
      <c r="A203" s="760"/>
      <c r="B203" s="280">
        <v>197</v>
      </c>
      <c r="C203" s="299" t="s">
        <v>698</v>
      </c>
      <c r="D203" s="300" t="s">
        <v>694</v>
      </c>
      <c r="E203" s="296"/>
      <c r="F203" s="218"/>
      <c r="G203" s="218"/>
      <c r="H203" s="218"/>
      <c r="I203" s="218"/>
      <c r="J203" s="218"/>
      <c r="K203" s="218"/>
      <c r="L203" s="218"/>
      <c r="M203" s="218"/>
      <c r="N203" s="218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208"/>
      <c r="AB203" s="208"/>
      <c r="AC203" s="208"/>
      <c r="AD203" s="208"/>
      <c r="AE203" s="208"/>
      <c r="AF203" s="208"/>
      <c r="AG203" s="208"/>
      <c r="AH203" s="208"/>
      <c r="AI203" s="208"/>
      <c r="AJ203" s="208"/>
      <c r="AK203" s="208"/>
      <c r="AL203" s="223"/>
      <c r="AM203" s="263"/>
      <c r="AN203" s="258"/>
      <c r="AO203" s="258"/>
      <c r="AP203" s="41"/>
      <c r="AQ203" s="41"/>
      <c r="AR203" s="258"/>
      <c r="AS203" s="41"/>
      <c r="AT203" s="41"/>
      <c r="AU203" s="258"/>
      <c r="AV203" s="41"/>
      <c r="AW203" s="258"/>
      <c r="AX203" s="264"/>
      <c r="AY203" s="347"/>
      <c r="AZ203" s="346"/>
      <c r="BA203" s="41"/>
      <c r="BB203" s="346"/>
      <c r="BC203" s="346"/>
      <c r="BD203" s="41"/>
      <c r="BE203" s="346"/>
      <c r="BF203" s="346"/>
      <c r="BG203" s="41"/>
      <c r="BH203" s="346"/>
      <c r="BI203" s="346"/>
      <c r="BJ203" s="348"/>
      <c r="BK203" s="347"/>
      <c r="BL203" s="346"/>
      <c r="BM203" s="235"/>
      <c r="BN203" s="346"/>
      <c r="BO203" s="41"/>
      <c r="BP203" s="346"/>
      <c r="BQ203" s="254"/>
      <c r="BR203" s="346"/>
      <c r="BS203" s="41"/>
      <c r="BT203" s="346"/>
      <c r="BU203" s="346"/>
      <c r="BV203" s="348"/>
      <c r="BW203" s="235"/>
      <c r="BX203" s="235"/>
      <c r="BY203" s="254"/>
      <c r="BZ203" s="235"/>
      <c r="CA203" s="254"/>
      <c r="CB203" s="235"/>
      <c r="CC203" s="235"/>
      <c r="CD203" s="254"/>
      <c r="CE203" s="235"/>
      <c r="CF203" s="254"/>
      <c r="CG203" s="235"/>
      <c r="CH203" s="349" t="s">
        <v>1426</v>
      </c>
      <c r="CI203" s="351"/>
      <c r="CJ203" s="235"/>
      <c r="CK203" s="259"/>
      <c r="CL203" s="254"/>
      <c r="CM203" s="259"/>
      <c r="CN203" s="235"/>
      <c r="CO203" s="235"/>
      <c r="CP203" s="259"/>
      <c r="CQ203" s="235"/>
      <c r="CR203" s="259"/>
      <c r="CS203" s="235"/>
      <c r="CT203" s="235"/>
    </row>
    <row r="204" spans="1:98" ht="15.75" thickBot="1" x14ac:dyDescent="0.3">
      <c r="A204" s="760"/>
      <c r="B204" s="280">
        <v>198</v>
      </c>
      <c r="C204" s="299" t="s">
        <v>699</v>
      </c>
      <c r="D204" s="300" t="s">
        <v>695</v>
      </c>
      <c r="E204" s="296"/>
      <c r="F204" s="218"/>
      <c r="G204" s="218"/>
      <c r="H204" s="218"/>
      <c r="I204" s="218"/>
      <c r="J204" s="218"/>
      <c r="K204" s="218"/>
      <c r="L204" s="218"/>
      <c r="M204" s="218"/>
      <c r="N204" s="218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208"/>
      <c r="AB204" s="208"/>
      <c r="AC204" s="208"/>
      <c r="AD204" s="208"/>
      <c r="AE204" s="208"/>
      <c r="AF204" s="208"/>
      <c r="AG204" s="208"/>
      <c r="AH204" s="208"/>
      <c r="AI204" s="208"/>
      <c r="AJ204" s="208"/>
      <c r="AK204" s="208"/>
      <c r="AL204" s="223"/>
      <c r="AM204" s="263"/>
      <c r="AN204" s="258"/>
      <c r="AO204" s="258"/>
      <c r="AP204" s="41"/>
      <c r="AQ204" s="41"/>
      <c r="AR204" s="258"/>
      <c r="AS204" s="41"/>
      <c r="AT204" s="41"/>
      <c r="AU204" s="258"/>
      <c r="AV204" s="41"/>
      <c r="AW204" s="258"/>
      <c r="AX204" s="264"/>
      <c r="AY204" s="347"/>
      <c r="AZ204" s="346"/>
      <c r="BA204" s="41"/>
      <c r="BB204" s="346"/>
      <c r="BC204" s="346"/>
      <c r="BD204" s="41"/>
      <c r="BE204" s="346"/>
      <c r="BF204" s="346"/>
      <c r="BG204" s="41"/>
      <c r="BH204" s="346"/>
      <c r="BI204" s="346"/>
      <c r="BJ204" s="348"/>
      <c r="BK204" s="347"/>
      <c r="BL204" s="346"/>
      <c r="BM204" s="235"/>
      <c r="BN204" s="346"/>
      <c r="BO204" s="41"/>
      <c r="BP204" s="346"/>
      <c r="BQ204" s="254"/>
      <c r="BR204" s="346"/>
      <c r="BS204" s="41"/>
      <c r="BT204" s="346"/>
      <c r="BU204" s="346"/>
      <c r="BV204" s="348"/>
      <c r="BW204" s="235"/>
      <c r="BX204" s="235"/>
      <c r="BY204" s="254"/>
      <c r="BZ204" s="235"/>
      <c r="CA204" s="254"/>
      <c r="CB204" s="235"/>
      <c r="CC204" s="235"/>
      <c r="CD204" s="254"/>
      <c r="CE204" s="235"/>
      <c r="CF204" s="235"/>
      <c r="CG204" s="235"/>
      <c r="CH204" s="349" t="s">
        <v>1426</v>
      </c>
      <c r="CI204" s="351"/>
      <c r="CJ204" s="235"/>
      <c r="CK204" s="259"/>
      <c r="CL204" s="254"/>
      <c r="CM204" s="259"/>
      <c r="CN204" s="235"/>
      <c r="CO204" s="235"/>
      <c r="CP204" s="259"/>
      <c r="CQ204" s="235"/>
      <c r="CR204" s="235"/>
      <c r="CS204" s="235"/>
      <c r="CT204" s="235"/>
    </row>
    <row r="205" spans="1:98" x14ac:dyDescent="0.25">
      <c r="A205" s="761"/>
      <c r="B205" s="713">
        <v>199</v>
      </c>
      <c r="C205" s="714" t="s">
        <v>700</v>
      </c>
      <c r="D205" s="715" t="s">
        <v>696</v>
      </c>
      <c r="E205" s="716"/>
      <c r="F205" s="717"/>
      <c r="G205" s="717"/>
      <c r="H205" s="717"/>
      <c r="I205" s="717"/>
      <c r="J205" s="717"/>
      <c r="K205" s="717"/>
      <c r="L205" s="717"/>
      <c r="M205" s="717"/>
      <c r="N205" s="717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718"/>
      <c r="AB205" s="718"/>
      <c r="AC205" s="718"/>
      <c r="AD205" s="718"/>
      <c r="AE205" s="718"/>
      <c r="AF205" s="718"/>
      <c r="AG205" s="718"/>
      <c r="AH205" s="718"/>
      <c r="AI205" s="718"/>
      <c r="AJ205" s="718"/>
      <c r="AK205" s="718"/>
      <c r="AL205" s="719"/>
      <c r="AM205" s="720"/>
      <c r="AN205" s="721"/>
      <c r="AO205" s="722" t="s">
        <v>690</v>
      </c>
      <c r="AP205" s="721"/>
      <c r="AQ205" s="721"/>
      <c r="AR205" s="721"/>
      <c r="AS205" s="721"/>
      <c r="AT205" s="721"/>
      <c r="AU205" s="721"/>
      <c r="AV205" s="721"/>
      <c r="AW205" s="721"/>
      <c r="AX205" s="723"/>
      <c r="AY205" s="724"/>
      <c r="AZ205" s="724"/>
      <c r="BA205" s="352" t="s">
        <v>690</v>
      </c>
      <c r="BB205" s="352" t="s">
        <v>690</v>
      </c>
      <c r="BC205" s="352" t="s">
        <v>690</v>
      </c>
      <c r="BD205" s="725"/>
      <c r="BE205" s="725"/>
      <c r="BF205" s="725"/>
      <c r="BG205" s="725"/>
      <c r="BH205" s="725"/>
      <c r="BI205" s="725"/>
      <c r="BJ205" s="726"/>
      <c r="BK205" s="352"/>
      <c r="BL205" s="352"/>
      <c r="BM205" s="352"/>
      <c r="BN205" s="352"/>
      <c r="BO205" s="352"/>
      <c r="BP205" s="725"/>
      <c r="BQ205" s="725"/>
      <c r="BR205" s="725"/>
      <c r="BS205" s="725"/>
      <c r="BT205" s="725"/>
      <c r="BU205" s="725"/>
      <c r="BV205" s="726"/>
      <c r="BW205" s="727"/>
      <c r="BX205" s="352"/>
      <c r="BY205" s="352"/>
      <c r="BZ205" s="722"/>
      <c r="CA205" s="352"/>
      <c r="CB205" s="352"/>
      <c r="CC205" s="352"/>
      <c r="CD205" s="352"/>
      <c r="CE205" s="352"/>
      <c r="CF205" s="352"/>
      <c r="CG205" s="352"/>
      <c r="CH205" s="728"/>
      <c r="CI205" s="729"/>
      <c r="CJ205" s="352"/>
      <c r="CK205" s="352"/>
      <c r="CL205" s="730"/>
      <c r="CM205" s="352"/>
      <c r="CN205" s="352"/>
      <c r="CO205" s="352"/>
      <c r="CP205" s="352"/>
      <c r="CQ205" s="352"/>
      <c r="CR205" s="352"/>
      <c r="CS205" s="352"/>
      <c r="CT205" s="352"/>
    </row>
    <row r="206" spans="1:98" x14ac:dyDescent="0.25">
      <c r="A206" s="258"/>
      <c r="B206" s="732"/>
      <c r="C206" s="258"/>
      <c r="D206" s="733" t="s">
        <v>1423</v>
      </c>
      <c r="E206" s="258"/>
      <c r="F206" s="258"/>
      <c r="G206" s="258"/>
      <c r="H206" s="258"/>
      <c r="I206" s="258"/>
      <c r="J206" s="258"/>
      <c r="K206" s="258"/>
      <c r="L206" s="258"/>
      <c r="M206" s="258"/>
      <c r="N206" s="258"/>
      <c r="O206" s="258"/>
      <c r="P206" s="258"/>
      <c r="Q206" s="258"/>
      <c r="R206" s="258"/>
      <c r="S206" s="258"/>
      <c r="T206" s="258"/>
      <c r="U206" s="258"/>
      <c r="V206" s="258"/>
      <c r="W206" s="258"/>
      <c r="X206" s="258"/>
      <c r="Y206" s="258"/>
      <c r="Z206" s="258"/>
      <c r="AA206" s="258"/>
      <c r="AB206" s="258"/>
      <c r="AC206" s="258"/>
      <c r="AD206" s="258"/>
      <c r="AE206" s="258"/>
      <c r="AF206" s="258"/>
      <c r="AG206" s="258"/>
      <c r="AH206" s="258"/>
      <c r="AI206" s="258"/>
      <c r="AJ206" s="258"/>
      <c r="AK206" s="258"/>
      <c r="AL206" s="258"/>
      <c r="AM206" s="258"/>
      <c r="AN206" s="258"/>
      <c r="AO206" s="258"/>
      <c r="AP206" s="258"/>
      <c r="AQ206" s="258"/>
      <c r="AR206" s="258"/>
      <c r="AS206" s="258"/>
      <c r="AT206" s="258"/>
      <c r="AU206" s="258"/>
      <c r="AV206" s="258"/>
      <c r="AW206" s="258"/>
      <c r="AX206" s="258"/>
      <c r="AY206" s="258"/>
      <c r="AZ206" s="258"/>
      <c r="BA206" s="258"/>
      <c r="BB206" s="258"/>
      <c r="BC206" s="258"/>
      <c r="BD206" s="258"/>
      <c r="BE206" s="258"/>
      <c r="BF206" s="258"/>
      <c r="BG206" s="258"/>
      <c r="BH206" s="258"/>
      <c r="BI206" s="258"/>
      <c r="BJ206" s="258"/>
      <c r="BK206" s="258"/>
      <c r="BL206" s="258"/>
      <c r="BM206" s="258"/>
      <c r="BN206" s="258"/>
      <c r="BO206" s="258"/>
      <c r="BP206" s="258"/>
      <c r="BQ206" s="258"/>
      <c r="BR206" s="258"/>
      <c r="BS206" s="258"/>
      <c r="BT206" s="258"/>
      <c r="BU206" s="258"/>
      <c r="BV206" s="258"/>
      <c r="BW206" s="258"/>
      <c r="BX206" s="258"/>
      <c r="BY206" s="258"/>
      <c r="BZ206" s="258"/>
      <c r="CA206" s="258"/>
      <c r="CB206" s="258"/>
      <c r="CC206" s="258"/>
      <c r="CD206" s="258"/>
      <c r="CE206" s="258"/>
      <c r="CF206" s="258"/>
      <c r="CG206" s="258"/>
      <c r="CH206" s="258"/>
      <c r="CI206" s="258"/>
      <c r="CJ206" s="258"/>
      <c r="CK206" s="258"/>
      <c r="CL206" s="258"/>
      <c r="CM206" s="258"/>
      <c r="CN206" s="258"/>
      <c r="CO206" s="41"/>
      <c r="CP206" s="258"/>
      <c r="CQ206" s="258"/>
      <c r="CR206" s="258"/>
      <c r="CS206" s="258"/>
      <c r="CT206" s="258"/>
    </row>
    <row r="207" spans="1:98" x14ac:dyDescent="0.25">
      <c r="A207" s="258"/>
      <c r="B207" s="258"/>
      <c r="C207" s="258"/>
      <c r="D207" s="733" t="s">
        <v>1478</v>
      </c>
      <c r="E207" s="258"/>
      <c r="F207" s="258"/>
      <c r="G207" s="258"/>
      <c r="H207" s="258"/>
      <c r="I207" s="258"/>
      <c r="J207" s="258"/>
      <c r="K207" s="258"/>
      <c r="L207" s="258"/>
      <c r="M207" s="258"/>
      <c r="N207" s="258"/>
      <c r="O207" s="258"/>
      <c r="P207" s="258"/>
      <c r="Q207" s="258"/>
      <c r="R207" s="258"/>
      <c r="S207" s="258"/>
      <c r="T207" s="258"/>
      <c r="U207" s="258"/>
      <c r="V207" s="258"/>
      <c r="W207" s="258"/>
      <c r="X207" s="258"/>
      <c r="Y207" s="258"/>
      <c r="Z207" s="258"/>
      <c r="AA207" s="258"/>
      <c r="AB207" s="258"/>
      <c r="AC207" s="258"/>
      <c r="AD207" s="258"/>
      <c r="AE207" s="258"/>
      <c r="AF207" s="258"/>
      <c r="AG207" s="258"/>
      <c r="AH207" s="258"/>
      <c r="AI207" s="258"/>
      <c r="AJ207" s="258"/>
      <c r="AK207" s="258"/>
      <c r="AL207" s="258"/>
      <c r="AM207" s="258"/>
      <c r="AN207" s="258"/>
      <c r="AO207" s="258"/>
      <c r="AP207" s="258"/>
      <c r="AQ207" s="258"/>
      <c r="AR207" s="258"/>
      <c r="AS207" s="258"/>
      <c r="AT207" s="258"/>
      <c r="AU207" s="258"/>
      <c r="AV207" s="258"/>
      <c r="AW207" s="258"/>
      <c r="AX207" s="258"/>
      <c r="AY207" s="258"/>
      <c r="AZ207" s="258"/>
      <c r="BA207" s="258"/>
      <c r="BB207" s="258"/>
      <c r="BC207" s="258"/>
      <c r="BD207" s="258"/>
      <c r="BE207" s="258"/>
      <c r="BF207" s="258"/>
      <c r="BG207" s="258"/>
      <c r="BH207" s="258"/>
      <c r="BI207" s="258"/>
      <c r="BJ207" s="258"/>
      <c r="BK207" s="258"/>
      <c r="BL207" s="258"/>
      <c r="BM207" s="258"/>
      <c r="BN207" s="258"/>
      <c r="BO207" s="258"/>
      <c r="BP207" s="258"/>
      <c r="BQ207" s="258"/>
      <c r="BR207" s="258"/>
      <c r="BS207" s="258"/>
      <c r="BT207" s="258"/>
      <c r="BU207" s="258"/>
      <c r="BV207" s="258"/>
      <c r="BW207" s="258"/>
      <c r="BX207" s="258"/>
      <c r="BY207" s="258"/>
      <c r="BZ207" s="258"/>
      <c r="CA207" s="258"/>
      <c r="CB207" s="258"/>
      <c r="CC207" s="258"/>
      <c r="CD207" s="258"/>
      <c r="CE207" s="258"/>
      <c r="CF207" s="258"/>
      <c r="CG207" s="258"/>
      <c r="CH207" s="258"/>
      <c r="CI207" s="258"/>
      <c r="CJ207" s="258"/>
      <c r="CK207" s="258"/>
      <c r="CL207" s="258"/>
      <c r="CM207" s="258"/>
      <c r="CN207" s="258"/>
      <c r="CO207" s="41"/>
      <c r="CP207" s="258"/>
      <c r="CQ207" s="258"/>
      <c r="CR207" s="258"/>
      <c r="CS207" s="258"/>
      <c r="CT207" s="258"/>
    </row>
    <row r="208" spans="1:98" ht="15.75" thickBot="1" x14ac:dyDescent="0.3">
      <c r="AN208" s="731" t="s">
        <v>690</v>
      </c>
      <c r="AO208" t="s">
        <v>707</v>
      </c>
      <c r="AZ208" s="731" t="s">
        <v>690</v>
      </c>
      <c r="BA208" t="s">
        <v>707</v>
      </c>
    </row>
    <row r="209" spans="40:53" x14ac:dyDescent="0.25">
      <c r="AN209" s="233" t="s">
        <v>702</v>
      </c>
      <c r="AO209" t="s">
        <v>708</v>
      </c>
      <c r="AZ209" s="233" t="s">
        <v>702</v>
      </c>
      <c r="BA209" t="s">
        <v>708</v>
      </c>
    </row>
    <row r="210" spans="40:53" x14ac:dyDescent="0.25">
      <c r="AN210" s="233" t="s">
        <v>691</v>
      </c>
      <c r="AO210" t="s">
        <v>709</v>
      </c>
      <c r="AZ210" s="233" t="s">
        <v>691</v>
      </c>
      <c r="BA210" t="s">
        <v>709</v>
      </c>
    </row>
  </sheetData>
  <dataConsolidate/>
  <mergeCells count="13">
    <mergeCell ref="CI1:CT1"/>
    <mergeCell ref="BK1:BV1"/>
    <mergeCell ref="BW1:CH1"/>
    <mergeCell ref="A162:A205"/>
    <mergeCell ref="A80:A160"/>
    <mergeCell ref="E1:N1"/>
    <mergeCell ref="O1:Z1"/>
    <mergeCell ref="AA1:AL1"/>
    <mergeCell ref="AY1:BJ1"/>
    <mergeCell ref="AM1:AX1"/>
    <mergeCell ref="A2:D2"/>
    <mergeCell ref="A4:A23"/>
    <mergeCell ref="A25:A78"/>
  </mergeCells>
  <pageMargins left="0.23622047244094491" right="0.23622047244094491" top="0.74803149606299213" bottom="0.74803149606299213" header="0.31496062992125984" footer="0.31496062992125984"/>
  <pageSetup scale="85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AB101"/>
  <sheetViews>
    <sheetView showGridLines="0" topLeftCell="A13" zoomScale="75" zoomScaleNormal="75" workbookViewId="0">
      <pane xSplit="3" topLeftCell="E1" activePane="topRight" state="frozenSplit"/>
      <selection activeCell="C8" sqref="C8"/>
      <selection pane="topRight" activeCell="H24" sqref="H24"/>
    </sheetView>
  </sheetViews>
  <sheetFormatPr baseColWidth="10" defaultRowHeight="15" x14ac:dyDescent="0.25"/>
  <cols>
    <col min="1" max="1" width="8" style="10" customWidth="1"/>
    <col min="2" max="2" width="25.85546875" style="11" customWidth="1"/>
    <col min="3" max="3" width="32.5703125" style="12" customWidth="1"/>
    <col min="4" max="4" width="16.42578125" style="10" customWidth="1"/>
    <col min="5" max="5" width="16.28515625" style="10" customWidth="1"/>
    <col min="6" max="6" width="36.42578125" style="10" customWidth="1"/>
    <col min="7" max="7" width="19.28515625" style="10" customWidth="1"/>
    <col min="8" max="8" width="15.5703125" style="10" customWidth="1"/>
    <col min="9" max="9" width="42.5703125" style="10" customWidth="1"/>
    <col min="10" max="10" width="13.7109375" style="10" customWidth="1"/>
    <col min="11" max="11" width="20" style="10" customWidth="1"/>
    <col min="12" max="12" width="17" style="10" customWidth="1"/>
    <col min="13" max="13" width="11.5703125" style="10" bestFit="1" customWidth="1"/>
    <col min="14" max="14" width="44.28515625" style="10" customWidth="1"/>
    <col min="15" max="15" width="19.28515625" style="10" customWidth="1"/>
    <col min="16" max="16" width="33.5703125" style="10" customWidth="1"/>
    <col min="17" max="17" width="17.85546875" style="10" customWidth="1"/>
    <col min="18" max="18" width="33.28515625" style="10" customWidth="1"/>
    <col min="19" max="19" width="23.5703125" style="10" customWidth="1"/>
    <col min="20" max="20" width="41.5703125" style="10" customWidth="1"/>
    <col min="21" max="21" width="22.28515625" style="10" customWidth="1"/>
    <col min="22" max="22" width="30.42578125" style="10" customWidth="1"/>
    <col min="23" max="23" width="16" style="10" customWidth="1"/>
    <col min="24" max="24" width="20" style="10" customWidth="1"/>
    <col min="25" max="25" width="21.7109375" style="10" customWidth="1"/>
    <col min="26" max="26" width="33.140625" style="10" customWidth="1"/>
    <col min="27" max="27" width="16.85546875" style="10" customWidth="1"/>
    <col min="28" max="28" width="20.5703125" style="10" customWidth="1"/>
    <col min="29" max="16384" width="11.42578125" style="10"/>
  </cols>
  <sheetData>
    <row r="1" spans="1:28" x14ac:dyDescent="0.25">
      <c r="A1" s="783" t="s">
        <v>19</v>
      </c>
      <c r="B1" s="777" t="s">
        <v>15</v>
      </c>
      <c r="C1" s="777" t="s">
        <v>16</v>
      </c>
      <c r="D1" s="782" t="s">
        <v>1336</v>
      </c>
      <c r="E1" s="777" t="s">
        <v>18</v>
      </c>
      <c r="F1" s="782" t="s">
        <v>21</v>
      </c>
      <c r="G1" s="777" t="s">
        <v>102</v>
      </c>
      <c r="H1" s="782" t="s">
        <v>1337</v>
      </c>
      <c r="I1" s="777" t="s">
        <v>20</v>
      </c>
      <c r="J1" s="782" t="s">
        <v>1342</v>
      </c>
      <c r="K1" s="777" t="s">
        <v>214</v>
      </c>
      <c r="L1" s="782" t="s">
        <v>214</v>
      </c>
      <c r="M1" s="777" t="s">
        <v>327</v>
      </c>
      <c r="N1" s="782" t="s">
        <v>329</v>
      </c>
      <c r="O1" s="777" t="s">
        <v>1343</v>
      </c>
      <c r="P1" s="782" t="s">
        <v>329</v>
      </c>
      <c r="Q1" s="777" t="s">
        <v>1327</v>
      </c>
      <c r="R1" s="782" t="s">
        <v>329</v>
      </c>
      <c r="S1" s="777" t="s">
        <v>1327</v>
      </c>
      <c r="T1" s="782" t="s">
        <v>329</v>
      </c>
      <c r="U1" s="777" t="s">
        <v>1328</v>
      </c>
      <c r="V1" s="782" t="s">
        <v>329</v>
      </c>
      <c r="W1" s="786" t="s">
        <v>1328</v>
      </c>
      <c r="X1" s="777" t="s">
        <v>329</v>
      </c>
      <c r="Y1" s="780" t="s">
        <v>1329</v>
      </c>
      <c r="Z1" s="777" t="s">
        <v>329</v>
      </c>
      <c r="AA1" s="780" t="s">
        <v>1329</v>
      </c>
      <c r="AB1" s="777" t="s">
        <v>329</v>
      </c>
    </row>
    <row r="2" spans="1:28" x14ac:dyDescent="0.25">
      <c r="A2" s="784"/>
      <c r="B2" s="778"/>
      <c r="C2" s="778"/>
      <c r="D2" s="780"/>
      <c r="E2" s="778"/>
      <c r="F2" s="780"/>
      <c r="G2" s="778"/>
      <c r="H2" s="780"/>
      <c r="I2" s="778"/>
      <c r="J2" s="780"/>
      <c r="K2" s="778"/>
      <c r="L2" s="780"/>
      <c r="M2" s="778"/>
      <c r="N2" s="780"/>
      <c r="O2" s="778"/>
      <c r="P2" s="780"/>
      <c r="Q2" s="778"/>
      <c r="R2" s="780"/>
      <c r="S2" s="778"/>
      <c r="T2" s="780"/>
      <c r="U2" s="778"/>
      <c r="V2" s="780"/>
      <c r="W2" s="787"/>
      <c r="X2" s="778"/>
      <c r="Y2" s="780"/>
      <c r="Z2" s="778"/>
      <c r="AA2" s="780"/>
      <c r="AB2" s="778"/>
    </row>
    <row r="3" spans="1:28" ht="42.75" customHeight="1" thickBot="1" x14ac:dyDescent="0.3">
      <c r="A3" s="785"/>
      <c r="B3" s="779"/>
      <c r="C3" s="779"/>
      <c r="D3" s="781"/>
      <c r="E3" s="779"/>
      <c r="F3" s="781"/>
      <c r="G3" s="779"/>
      <c r="H3" s="781"/>
      <c r="I3" s="779"/>
      <c r="J3" s="781"/>
      <c r="K3" s="779"/>
      <c r="L3" s="781"/>
      <c r="M3" s="779"/>
      <c r="N3" s="781"/>
      <c r="O3" s="779"/>
      <c r="P3" s="781"/>
      <c r="Q3" s="779"/>
      <c r="R3" s="781"/>
      <c r="S3" s="779"/>
      <c r="T3" s="781"/>
      <c r="U3" s="779"/>
      <c r="V3" s="781"/>
      <c r="W3" s="788"/>
      <c r="X3" s="779"/>
      <c r="Y3" s="781"/>
      <c r="Z3" s="779"/>
      <c r="AA3" s="781"/>
      <c r="AB3" s="779"/>
    </row>
    <row r="4" spans="1:28" ht="30" x14ac:dyDescent="0.25">
      <c r="A4" s="609">
        <v>1</v>
      </c>
      <c r="B4" s="610"/>
      <c r="C4" s="611" t="s">
        <v>88</v>
      </c>
      <c r="D4" s="612">
        <v>40113</v>
      </c>
      <c r="E4" s="613">
        <f>D4+216</f>
        <v>40329</v>
      </c>
      <c r="F4" s="590"/>
      <c r="G4" s="589" t="s">
        <v>103</v>
      </c>
      <c r="H4" s="590"/>
      <c r="I4" s="589"/>
      <c r="J4" s="590"/>
      <c r="K4" s="589"/>
      <c r="L4" s="590"/>
      <c r="M4" s="589"/>
      <c r="N4" s="590"/>
      <c r="O4" s="589"/>
      <c r="P4" s="590"/>
      <c r="Q4" s="589"/>
      <c r="R4" s="590"/>
      <c r="S4" s="589"/>
      <c r="T4" s="590"/>
      <c r="U4" s="589"/>
      <c r="V4" s="590"/>
      <c r="W4" s="614"/>
      <c r="X4" s="589"/>
      <c r="Y4" s="612">
        <v>42102</v>
      </c>
      <c r="Z4" s="589" t="s">
        <v>1358</v>
      </c>
      <c r="AA4" s="590"/>
      <c r="AB4" s="589"/>
    </row>
    <row r="5" spans="1:28" ht="30" x14ac:dyDescent="0.25">
      <c r="A5" s="592">
        <v>2</v>
      </c>
      <c r="B5" s="593"/>
      <c r="C5" s="595" t="s">
        <v>89</v>
      </c>
      <c r="D5" s="597">
        <v>40057</v>
      </c>
      <c r="E5" s="601">
        <f>D5+416</f>
        <v>40473</v>
      </c>
      <c r="F5" s="599"/>
      <c r="G5" s="588" t="s">
        <v>103</v>
      </c>
      <c r="H5" s="599"/>
      <c r="I5" s="588"/>
      <c r="J5" s="599"/>
      <c r="K5" s="588"/>
      <c r="L5" s="599"/>
      <c r="M5" s="588"/>
      <c r="N5" s="599"/>
      <c r="O5" s="601"/>
      <c r="P5" s="599"/>
      <c r="Q5" s="588"/>
      <c r="R5" s="599"/>
      <c r="S5" s="588"/>
      <c r="T5" s="599"/>
      <c r="U5" s="601">
        <v>41674</v>
      </c>
      <c r="V5" s="599" t="s">
        <v>1215</v>
      </c>
      <c r="W5" s="608"/>
      <c r="X5" s="588"/>
      <c r="Y5" s="597">
        <v>42102</v>
      </c>
      <c r="Z5" s="589" t="s">
        <v>1358</v>
      </c>
      <c r="AA5" s="599"/>
      <c r="AB5" s="588"/>
    </row>
    <row r="6" spans="1:28" ht="45" x14ac:dyDescent="0.25">
      <c r="A6" s="592">
        <v>3</v>
      </c>
      <c r="B6" s="593"/>
      <c r="C6" s="595" t="s">
        <v>90</v>
      </c>
      <c r="D6" s="597">
        <v>40109</v>
      </c>
      <c r="E6" s="601">
        <f>D6+416</f>
        <v>40525</v>
      </c>
      <c r="F6" s="599"/>
      <c r="G6" s="588" t="s">
        <v>103</v>
      </c>
      <c r="H6" s="597">
        <v>40407</v>
      </c>
      <c r="I6" s="588" t="s">
        <v>254</v>
      </c>
      <c r="J6" s="597">
        <f>H6+416</f>
        <v>40823</v>
      </c>
      <c r="K6" s="588" t="s">
        <v>239</v>
      </c>
      <c r="L6" s="599" t="s">
        <v>240</v>
      </c>
      <c r="M6" s="601">
        <v>41038</v>
      </c>
      <c r="N6" s="599" t="s">
        <v>728</v>
      </c>
      <c r="O6" s="601">
        <v>41118</v>
      </c>
      <c r="P6" s="599" t="s">
        <v>943</v>
      </c>
      <c r="Q6" s="399">
        <v>41505</v>
      </c>
      <c r="R6" s="599" t="s">
        <v>949</v>
      </c>
      <c r="S6" s="588"/>
      <c r="T6" s="599"/>
      <c r="U6" s="601">
        <v>41725</v>
      </c>
      <c r="V6" s="599" t="s">
        <v>876</v>
      </c>
      <c r="W6" s="607"/>
      <c r="X6" s="588"/>
      <c r="Y6" s="599"/>
      <c r="Z6" s="588"/>
      <c r="AA6" s="599"/>
      <c r="AB6" s="588"/>
    </row>
    <row r="7" spans="1:28" ht="45" x14ac:dyDescent="0.25">
      <c r="A7" s="592">
        <v>4</v>
      </c>
      <c r="B7" s="593"/>
      <c r="C7" s="595" t="s">
        <v>91</v>
      </c>
      <c r="D7" s="597">
        <v>40109</v>
      </c>
      <c r="E7" s="601">
        <f>D7+416</f>
        <v>40525</v>
      </c>
      <c r="F7" s="599"/>
      <c r="G7" s="588" t="s">
        <v>103</v>
      </c>
      <c r="H7" s="597">
        <v>40435</v>
      </c>
      <c r="I7" s="588" t="s">
        <v>254</v>
      </c>
      <c r="J7" s="597">
        <f>H7+416</f>
        <v>40851</v>
      </c>
      <c r="K7" s="588" t="s">
        <v>239</v>
      </c>
      <c r="L7" s="599" t="s">
        <v>240</v>
      </c>
      <c r="M7" s="588"/>
      <c r="N7" s="599"/>
      <c r="O7" s="601">
        <v>41126</v>
      </c>
      <c r="P7" s="599" t="s">
        <v>943</v>
      </c>
      <c r="Q7" s="399">
        <v>41491</v>
      </c>
      <c r="R7" s="599" t="s">
        <v>949</v>
      </c>
      <c r="S7" s="588"/>
      <c r="T7" s="599"/>
      <c r="U7" s="601">
        <v>41717</v>
      </c>
      <c r="V7" s="599" t="s">
        <v>1259</v>
      </c>
      <c r="W7" s="607"/>
      <c r="X7" s="588"/>
      <c r="Y7" s="599"/>
      <c r="Z7" s="588"/>
      <c r="AA7" s="599"/>
      <c r="AB7" s="588"/>
    </row>
    <row r="8" spans="1:28" ht="30" x14ac:dyDescent="0.25">
      <c r="A8" s="592">
        <v>5</v>
      </c>
      <c r="B8" s="593"/>
      <c r="C8" s="595" t="s">
        <v>92</v>
      </c>
      <c r="D8" s="597">
        <v>40190</v>
      </c>
      <c r="E8" s="601">
        <f t="shared" ref="E8:E17" si="0">D8+416</f>
        <v>40606</v>
      </c>
      <c r="F8" s="599"/>
      <c r="G8" s="588" t="s">
        <v>103</v>
      </c>
      <c r="H8" s="597">
        <v>40414</v>
      </c>
      <c r="I8" s="588" t="s">
        <v>254</v>
      </c>
      <c r="J8" s="597">
        <f>H8+416</f>
        <v>40830</v>
      </c>
      <c r="K8" s="588" t="s">
        <v>237</v>
      </c>
      <c r="L8" s="599" t="s">
        <v>238</v>
      </c>
      <c r="M8" s="588"/>
      <c r="N8" s="599"/>
      <c r="O8" s="601">
        <v>41121</v>
      </c>
      <c r="P8" s="599" t="s">
        <v>765</v>
      </c>
      <c r="Q8" s="601">
        <v>41162</v>
      </c>
      <c r="R8" s="599" t="s">
        <v>854</v>
      </c>
      <c r="S8" s="399">
        <v>41436</v>
      </c>
      <c r="T8" s="599" t="s">
        <v>1095</v>
      </c>
      <c r="U8" s="601">
        <v>41835</v>
      </c>
      <c r="V8" s="599" t="s">
        <v>876</v>
      </c>
      <c r="W8" s="608">
        <v>41832</v>
      </c>
      <c r="X8" s="588" t="s">
        <v>1221</v>
      </c>
      <c r="Y8" s="597">
        <v>42149</v>
      </c>
      <c r="Z8" s="588" t="s">
        <v>1379</v>
      </c>
      <c r="AA8" s="597">
        <v>42380</v>
      </c>
      <c r="AB8" s="588" t="s">
        <v>1444</v>
      </c>
    </row>
    <row r="9" spans="1:28" ht="30" x14ac:dyDescent="0.25">
      <c r="A9" s="592">
        <v>6</v>
      </c>
      <c r="B9" s="593"/>
      <c r="C9" s="595" t="s">
        <v>259</v>
      </c>
      <c r="D9" s="597">
        <v>40109</v>
      </c>
      <c r="E9" s="601">
        <f t="shared" si="0"/>
        <v>40525</v>
      </c>
      <c r="F9" s="599"/>
      <c r="G9" s="588" t="s">
        <v>103</v>
      </c>
      <c r="H9" s="597">
        <v>40464</v>
      </c>
      <c r="I9" s="588" t="s">
        <v>254</v>
      </c>
      <c r="J9" s="597">
        <f>H9+416</f>
        <v>40880</v>
      </c>
      <c r="K9" s="588" t="s">
        <v>237</v>
      </c>
      <c r="L9" s="599" t="s">
        <v>238</v>
      </c>
      <c r="M9" s="588"/>
      <c r="N9" s="599"/>
      <c r="O9" s="601">
        <v>41100</v>
      </c>
      <c r="P9" s="599" t="s">
        <v>765</v>
      </c>
      <c r="Q9" s="601">
        <v>41177</v>
      </c>
      <c r="R9" s="599" t="s">
        <v>855</v>
      </c>
      <c r="S9" s="399">
        <v>41428</v>
      </c>
      <c r="T9" s="599" t="s">
        <v>1095</v>
      </c>
      <c r="U9" s="588"/>
      <c r="V9" s="599"/>
      <c r="W9" s="607"/>
      <c r="X9" s="588"/>
      <c r="Y9" s="597">
        <v>42192</v>
      </c>
      <c r="Z9" s="588" t="s">
        <v>876</v>
      </c>
      <c r="AA9" s="599"/>
      <c r="AB9" s="588"/>
    </row>
    <row r="10" spans="1:28" ht="60" x14ac:dyDescent="0.25">
      <c r="A10" s="592">
        <v>7</v>
      </c>
      <c r="B10" s="593"/>
      <c r="C10" s="595" t="s">
        <v>93</v>
      </c>
      <c r="D10" s="597">
        <v>40099</v>
      </c>
      <c r="E10" s="601">
        <f t="shared" si="0"/>
        <v>40515</v>
      </c>
      <c r="F10" s="599"/>
      <c r="G10" s="588" t="s">
        <v>103</v>
      </c>
      <c r="H10" s="597">
        <v>40399</v>
      </c>
      <c r="I10" s="588" t="s">
        <v>252</v>
      </c>
      <c r="J10" s="597"/>
      <c r="K10" s="588" t="s">
        <v>339</v>
      </c>
      <c r="L10" s="599"/>
      <c r="M10" s="601">
        <v>40638</v>
      </c>
      <c r="N10" s="599" t="s">
        <v>340</v>
      </c>
      <c r="O10" s="588"/>
      <c r="P10" s="599"/>
      <c r="Q10" s="588"/>
      <c r="R10" s="599"/>
      <c r="S10" s="601">
        <v>41696</v>
      </c>
      <c r="T10" s="599" t="s">
        <v>1251</v>
      </c>
      <c r="U10" s="601">
        <v>41701</v>
      </c>
      <c r="V10" s="599" t="s">
        <v>1257</v>
      </c>
      <c r="W10" s="608">
        <v>41710</v>
      </c>
      <c r="X10" s="588" t="s">
        <v>1258</v>
      </c>
      <c r="Y10" s="599"/>
      <c r="Z10" s="588"/>
      <c r="AA10" s="597">
        <v>42458</v>
      </c>
      <c r="AB10" s="588" t="s">
        <v>1463</v>
      </c>
    </row>
    <row r="11" spans="1:28" x14ac:dyDescent="0.25">
      <c r="A11" s="592">
        <v>8</v>
      </c>
      <c r="B11" s="593"/>
      <c r="C11" s="596" t="s">
        <v>94</v>
      </c>
      <c r="D11" s="598">
        <v>40190</v>
      </c>
      <c r="E11" s="602">
        <f t="shared" si="0"/>
        <v>40606</v>
      </c>
      <c r="F11" s="603"/>
      <c r="G11" s="588" t="s">
        <v>103</v>
      </c>
      <c r="H11" s="597">
        <v>40430</v>
      </c>
      <c r="I11" s="588" t="s">
        <v>255</v>
      </c>
      <c r="J11" s="599"/>
      <c r="K11" s="588"/>
      <c r="L11" s="599"/>
      <c r="M11" s="588"/>
      <c r="N11" s="599"/>
      <c r="O11" s="588"/>
      <c r="P11" s="599"/>
      <c r="Q11" s="588"/>
      <c r="R11" s="599"/>
      <c r="S11" s="588"/>
      <c r="T11" s="599"/>
      <c r="U11" s="588"/>
      <c r="V11" s="599"/>
      <c r="W11" s="607"/>
      <c r="X11" s="588"/>
      <c r="Y11" s="599"/>
      <c r="Z11" s="588"/>
      <c r="AA11" s="599"/>
      <c r="AB11" s="588"/>
    </row>
    <row r="12" spans="1:28" ht="30" x14ac:dyDescent="0.25">
      <c r="A12" s="592">
        <v>9</v>
      </c>
      <c r="B12" s="593"/>
      <c r="C12" s="596" t="s">
        <v>95</v>
      </c>
      <c r="D12" s="598">
        <v>40345</v>
      </c>
      <c r="E12" s="602">
        <f t="shared" si="0"/>
        <v>40761</v>
      </c>
      <c r="F12" s="604" t="s">
        <v>212</v>
      </c>
      <c r="G12" s="588" t="s">
        <v>103</v>
      </c>
      <c r="H12" s="599"/>
      <c r="I12" s="588"/>
      <c r="J12" s="599"/>
      <c r="K12" s="588" t="s">
        <v>215</v>
      </c>
      <c r="L12" s="599"/>
      <c r="M12" s="588"/>
      <c r="N12" s="599"/>
      <c r="O12" s="601">
        <v>40861</v>
      </c>
      <c r="P12" s="599" t="s">
        <v>371</v>
      </c>
      <c r="Q12" s="601"/>
      <c r="R12" s="599"/>
      <c r="S12" s="588"/>
      <c r="T12" s="599"/>
      <c r="U12" s="588"/>
      <c r="V12" s="599"/>
      <c r="W12" s="607"/>
      <c r="X12" s="588"/>
      <c r="Y12" s="597">
        <v>42233</v>
      </c>
      <c r="Z12" s="588" t="s">
        <v>1403</v>
      </c>
      <c r="AA12" s="599"/>
      <c r="AB12" s="588"/>
    </row>
    <row r="13" spans="1:28" ht="30" x14ac:dyDescent="0.25">
      <c r="A13" s="592">
        <v>10</v>
      </c>
      <c r="B13" s="593"/>
      <c r="C13" s="596" t="s">
        <v>96</v>
      </c>
      <c r="D13" s="598">
        <v>40346</v>
      </c>
      <c r="E13" s="602">
        <f t="shared" si="0"/>
        <v>40762</v>
      </c>
      <c r="F13" s="604" t="s">
        <v>212</v>
      </c>
      <c r="G13" s="588" t="s">
        <v>103</v>
      </c>
      <c r="H13" s="599"/>
      <c r="I13" s="588"/>
      <c r="J13" s="599"/>
      <c r="K13" s="588" t="s">
        <v>215</v>
      </c>
      <c r="L13" s="599"/>
      <c r="M13" s="588"/>
      <c r="N13" s="599"/>
      <c r="O13" s="601">
        <v>40861</v>
      </c>
      <c r="P13" s="599" t="s">
        <v>371</v>
      </c>
      <c r="Q13" s="601"/>
      <c r="R13" s="599"/>
      <c r="S13" s="588"/>
      <c r="T13" s="599"/>
      <c r="U13" s="588"/>
      <c r="V13" s="599"/>
      <c r="W13" s="607"/>
      <c r="X13" s="588"/>
      <c r="Y13" s="599"/>
      <c r="Z13" s="588" t="s">
        <v>1403</v>
      </c>
      <c r="AA13" s="599"/>
      <c r="AB13" s="588"/>
    </row>
    <row r="14" spans="1:28" ht="30" x14ac:dyDescent="0.25">
      <c r="A14" s="592">
        <v>11</v>
      </c>
      <c r="B14" s="593"/>
      <c r="C14" s="596" t="s">
        <v>97</v>
      </c>
      <c r="D14" s="598">
        <v>40347</v>
      </c>
      <c r="E14" s="602">
        <f t="shared" si="0"/>
        <v>40763</v>
      </c>
      <c r="F14" s="604" t="s">
        <v>261</v>
      </c>
      <c r="G14" s="588" t="s">
        <v>103</v>
      </c>
      <c r="H14" s="597">
        <v>40609</v>
      </c>
      <c r="I14" s="588" t="s">
        <v>325</v>
      </c>
      <c r="J14" s="599"/>
      <c r="K14" s="588" t="s">
        <v>215</v>
      </c>
      <c r="L14" s="599"/>
      <c r="M14" s="588"/>
      <c r="N14" s="599"/>
      <c r="O14" s="601">
        <v>40862</v>
      </c>
      <c r="P14" s="599" t="s">
        <v>371</v>
      </c>
      <c r="Q14" s="601"/>
      <c r="R14" s="599"/>
      <c r="S14" s="588"/>
      <c r="T14" s="599"/>
      <c r="U14" s="588"/>
      <c r="V14" s="599"/>
      <c r="W14" s="607"/>
      <c r="X14" s="588"/>
      <c r="Y14" s="597">
        <v>42228</v>
      </c>
      <c r="Z14" s="588" t="s">
        <v>1403</v>
      </c>
      <c r="AA14" s="599"/>
      <c r="AB14" s="588"/>
    </row>
    <row r="15" spans="1:28" ht="30" x14ac:dyDescent="0.25">
      <c r="A15" s="592">
        <v>12</v>
      </c>
      <c r="B15" s="593"/>
      <c r="C15" s="596" t="s">
        <v>98</v>
      </c>
      <c r="D15" s="598">
        <v>40466</v>
      </c>
      <c r="E15" s="602">
        <f t="shared" si="0"/>
        <v>40882</v>
      </c>
      <c r="F15" s="604" t="s">
        <v>261</v>
      </c>
      <c r="G15" s="588" t="s">
        <v>103</v>
      </c>
      <c r="H15" s="599"/>
      <c r="I15" s="588"/>
      <c r="J15" s="599"/>
      <c r="K15" s="588" t="s">
        <v>215</v>
      </c>
      <c r="L15" s="599"/>
      <c r="M15" s="588"/>
      <c r="N15" s="599"/>
      <c r="O15" s="601">
        <v>40862</v>
      </c>
      <c r="P15" s="599" t="s">
        <v>371</v>
      </c>
      <c r="Q15" s="601"/>
      <c r="R15" s="599"/>
      <c r="S15" s="588"/>
      <c r="T15" s="599"/>
      <c r="U15" s="588"/>
      <c r="V15" s="599"/>
      <c r="W15" s="607"/>
      <c r="X15" s="588"/>
      <c r="Y15" s="597">
        <v>42228</v>
      </c>
      <c r="Z15" s="588" t="s">
        <v>1404</v>
      </c>
      <c r="AA15" s="599"/>
      <c r="AB15" s="588"/>
    </row>
    <row r="16" spans="1:28" ht="30" x14ac:dyDescent="0.25">
      <c r="A16" s="592">
        <v>13</v>
      </c>
      <c r="B16" s="593"/>
      <c r="C16" s="596" t="s">
        <v>99</v>
      </c>
      <c r="D16" s="598">
        <v>40354</v>
      </c>
      <c r="E16" s="602">
        <f t="shared" si="0"/>
        <v>40770</v>
      </c>
      <c r="F16" s="604" t="s">
        <v>228</v>
      </c>
      <c r="G16" s="605" t="s">
        <v>103</v>
      </c>
      <c r="H16" s="597">
        <v>40511</v>
      </c>
      <c r="I16" s="588" t="s">
        <v>293</v>
      </c>
      <c r="J16" s="599"/>
      <c r="K16" s="588" t="s">
        <v>216</v>
      </c>
      <c r="L16" s="599"/>
      <c r="M16" s="588"/>
      <c r="N16" s="599"/>
      <c r="O16" s="601">
        <v>40862</v>
      </c>
      <c r="P16" s="599" t="s">
        <v>316</v>
      </c>
      <c r="Q16" s="601">
        <v>41066</v>
      </c>
      <c r="R16" s="599" t="s">
        <v>756</v>
      </c>
      <c r="S16" s="399">
        <v>41513</v>
      </c>
      <c r="T16" s="599" t="s">
        <v>930</v>
      </c>
      <c r="U16" s="588"/>
      <c r="V16" s="599"/>
      <c r="W16" s="607"/>
      <c r="X16" s="588"/>
      <c r="Y16" s="597">
        <v>42240</v>
      </c>
      <c r="Z16" s="588" t="s">
        <v>1407</v>
      </c>
      <c r="AA16" s="599"/>
      <c r="AB16" s="588"/>
    </row>
    <row r="17" spans="1:28" ht="30" x14ac:dyDescent="0.25">
      <c r="A17" s="592">
        <v>14</v>
      </c>
      <c r="B17" s="593"/>
      <c r="C17" s="595" t="s">
        <v>229</v>
      </c>
      <c r="D17" s="597">
        <v>40466</v>
      </c>
      <c r="E17" s="602">
        <f t="shared" si="0"/>
        <v>40882</v>
      </c>
      <c r="F17" s="599" t="s">
        <v>262</v>
      </c>
      <c r="G17" s="588"/>
      <c r="H17" s="599"/>
      <c r="I17" s="588"/>
      <c r="J17" s="599"/>
      <c r="K17" s="588" t="s">
        <v>215</v>
      </c>
      <c r="L17" s="599"/>
      <c r="M17" s="588"/>
      <c r="N17" s="599"/>
      <c r="O17" s="601">
        <v>40862</v>
      </c>
      <c r="P17" s="599" t="s">
        <v>371</v>
      </c>
      <c r="Q17" s="399">
        <v>41513</v>
      </c>
      <c r="R17" s="599" t="s">
        <v>929</v>
      </c>
      <c r="S17" s="588"/>
      <c r="T17" s="599"/>
      <c r="U17" s="601">
        <v>41701</v>
      </c>
      <c r="V17" s="599" t="s">
        <v>876</v>
      </c>
      <c r="W17" s="607"/>
      <c r="X17" s="588"/>
      <c r="Y17" s="597">
        <v>42303</v>
      </c>
      <c r="Z17" s="588" t="s">
        <v>1416</v>
      </c>
      <c r="AA17" s="599"/>
      <c r="AB17" s="588"/>
    </row>
    <row r="18" spans="1:28" ht="30" x14ac:dyDescent="0.25">
      <c r="A18" s="592">
        <v>15</v>
      </c>
      <c r="B18" s="594"/>
      <c r="C18" s="595" t="s">
        <v>230</v>
      </c>
      <c r="D18" s="599"/>
      <c r="E18" s="588"/>
      <c r="F18" s="599"/>
      <c r="G18" s="588"/>
      <c r="H18" s="599"/>
      <c r="I18" s="588"/>
      <c r="J18" s="599"/>
      <c r="K18" s="588" t="s">
        <v>1252</v>
      </c>
      <c r="L18" s="599"/>
      <c r="M18" s="588"/>
      <c r="N18" s="599"/>
      <c r="O18" s="601">
        <v>40862</v>
      </c>
      <c r="P18" s="599" t="s">
        <v>371</v>
      </c>
      <c r="Q18" s="399">
        <v>41513</v>
      </c>
      <c r="R18" s="599" t="s">
        <v>986</v>
      </c>
      <c r="S18" s="588"/>
      <c r="T18" s="599"/>
      <c r="U18" s="601">
        <v>41695</v>
      </c>
      <c r="V18" s="599" t="s">
        <v>876</v>
      </c>
      <c r="W18" s="607"/>
      <c r="X18" s="588"/>
      <c r="Y18" s="599"/>
      <c r="Z18" s="588"/>
      <c r="AA18" s="599"/>
      <c r="AB18" s="588"/>
    </row>
    <row r="19" spans="1:28" x14ac:dyDescent="0.25">
      <c r="A19" s="592">
        <v>16</v>
      </c>
      <c r="B19" s="593"/>
      <c r="C19" s="595" t="s">
        <v>100</v>
      </c>
      <c r="D19" s="597">
        <v>39941</v>
      </c>
      <c r="E19" s="601">
        <f>D19+416</f>
        <v>40357</v>
      </c>
      <c r="F19" s="599"/>
      <c r="G19" s="588" t="s">
        <v>103</v>
      </c>
      <c r="H19" s="597">
        <v>40486</v>
      </c>
      <c r="I19" s="588" t="s">
        <v>273</v>
      </c>
      <c r="J19" s="597">
        <f>H19+416</f>
        <v>40902</v>
      </c>
      <c r="K19" s="588"/>
      <c r="L19" s="599"/>
      <c r="M19" s="588"/>
      <c r="N19" s="599"/>
      <c r="O19" s="588"/>
      <c r="P19" s="599"/>
      <c r="Q19" s="588"/>
      <c r="R19" s="599"/>
      <c r="S19" s="588"/>
      <c r="T19" s="599"/>
      <c r="U19" s="588"/>
      <c r="V19" s="599"/>
      <c r="W19" s="607"/>
      <c r="X19" s="588"/>
      <c r="Y19" s="599"/>
      <c r="Z19" s="588"/>
      <c r="AA19" s="599"/>
      <c r="AB19" s="588"/>
    </row>
    <row r="20" spans="1:28" x14ac:dyDescent="0.25">
      <c r="A20" s="592">
        <v>17</v>
      </c>
      <c r="B20" s="593"/>
      <c r="C20" s="595" t="s">
        <v>101</v>
      </c>
      <c r="D20" s="597">
        <v>40099</v>
      </c>
      <c r="E20" s="601">
        <f>D20+416</f>
        <v>40515</v>
      </c>
      <c r="F20" s="599" t="s">
        <v>132</v>
      </c>
      <c r="G20" s="588" t="s">
        <v>103</v>
      </c>
      <c r="H20" s="597">
        <v>40183</v>
      </c>
      <c r="I20" s="588" t="s">
        <v>133</v>
      </c>
      <c r="J20" s="597">
        <v>40515</v>
      </c>
      <c r="K20" s="601"/>
      <c r="L20" s="597"/>
      <c r="M20" s="601">
        <v>40609</v>
      </c>
      <c r="N20" s="599" t="s">
        <v>330</v>
      </c>
      <c r="O20" s="588"/>
      <c r="P20" s="599"/>
      <c r="Q20" s="588"/>
      <c r="R20" s="599"/>
      <c r="S20" s="588"/>
      <c r="T20" s="599"/>
      <c r="U20" s="588"/>
      <c r="V20" s="599"/>
      <c r="W20" s="607"/>
      <c r="X20" s="588"/>
      <c r="Y20" s="599"/>
      <c r="Z20" s="588"/>
      <c r="AA20" s="599"/>
      <c r="AB20" s="588"/>
    </row>
    <row r="21" spans="1:28" x14ac:dyDescent="0.25">
      <c r="A21" s="592">
        <v>18</v>
      </c>
      <c r="B21" s="593"/>
      <c r="C21" s="595" t="s">
        <v>249</v>
      </c>
      <c r="D21" s="597">
        <v>40309</v>
      </c>
      <c r="E21" s="601">
        <f>D21+416</f>
        <v>40725</v>
      </c>
      <c r="F21" s="599" t="s">
        <v>274</v>
      </c>
      <c r="G21" s="588"/>
      <c r="H21" s="599"/>
      <c r="I21" s="588"/>
      <c r="J21" s="599"/>
      <c r="K21" s="588">
        <v>6206.6203999999998</v>
      </c>
      <c r="L21" s="599"/>
      <c r="M21" s="588"/>
      <c r="N21" s="599"/>
      <c r="O21" s="601">
        <v>41096</v>
      </c>
      <c r="P21" s="599" t="s">
        <v>766</v>
      </c>
      <c r="Q21" s="399">
        <v>41458</v>
      </c>
      <c r="R21" s="599" t="s">
        <v>983</v>
      </c>
      <c r="S21" s="399">
        <v>41491</v>
      </c>
      <c r="T21" s="599" t="s">
        <v>1096</v>
      </c>
      <c r="U21" s="588"/>
      <c r="V21" s="599"/>
      <c r="W21" s="607"/>
      <c r="X21" s="588"/>
      <c r="Y21" s="599"/>
      <c r="Z21" s="588"/>
      <c r="AA21" s="599"/>
      <c r="AB21" s="588"/>
    </row>
    <row r="22" spans="1:28" ht="45" x14ac:dyDescent="0.25">
      <c r="A22" s="592">
        <v>19</v>
      </c>
      <c r="B22" s="593"/>
      <c r="C22" s="595" t="s">
        <v>282</v>
      </c>
      <c r="D22" s="597">
        <v>40308</v>
      </c>
      <c r="E22" s="601">
        <f>D22+416</f>
        <v>40724</v>
      </c>
      <c r="F22" s="599" t="s">
        <v>274</v>
      </c>
      <c r="G22" s="588"/>
      <c r="H22" s="597">
        <v>40603</v>
      </c>
      <c r="I22" s="588" t="s">
        <v>326</v>
      </c>
      <c r="J22" s="599"/>
      <c r="K22" s="588" t="s">
        <v>220</v>
      </c>
      <c r="L22" s="599"/>
      <c r="M22" s="601">
        <v>40840</v>
      </c>
      <c r="N22" s="599" t="s">
        <v>922</v>
      </c>
      <c r="O22" s="601">
        <v>41043</v>
      </c>
      <c r="P22" s="599" t="s">
        <v>746</v>
      </c>
      <c r="Q22" s="601"/>
      <c r="R22" s="599"/>
      <c r="S22" s="399">
        <v>41512</v>
      </c>
      <c r="T22" s="599" t="s">
        <v>931</v>
      </c>
      <c r="U22" s="601">
        <v>41723</v>
      </c>
      <c r="V22" s="599" t="s">
        <v>876</v>
      </c>
      <c r="W22" s="608" t="s">
        <v>1345</v>
      </c>
      <c r="X22" s="588" t="s">
        <v>1344</v>
      </c>
      <c r="Y22" s="597">
        <v>42073</v>
      </c>
      <c r="Z22" s="588" t="s">
        <v>1308</v>
      </c>
      <c r="AA22" s="597" t="s">
        <v>1429</v>
      </c>
      <c r="AB22" s="588" t="s">
        <v>1430</v>
      </c>
    </row>
    <row r="23" spans="1:28" x14ac:dyDescent="0.25">
      <c r="A23" s="592">
        <v>20</v>
      </c>
      <c r="B23" s="593"/>
      <c r="C23" s="595"/>
      <c r="D23" s="597"/>
      <c r="E23" s="601"/>
      <c r="F23" s="599"/>
      <c r="G23" s="588"/>
      <c r="H23" s="599"/>
      <c r="I23" s="588"/>
      <c r="J23" s="599"/>
      <c r="K23" s="588"/>
      <c r="L23" s="599"/>
      <c r="M23" s="588"/>
      <c r="N23" s="599"/>
      <c r="O23" s="588"/>
      <c r="P23" s="599"/>
      <c r="Q23" s="588"/>
      <c r="R23" s="599"/>
      <c r="S23" s="588"/>
      <c r="T23" s="599"/>
      <c r="U23" s="588"/>
      <c r="V23" s="599"/>
      <c r="W23" s="607"/>
      <c r="X23" s="588"/>
      <c r="Y23" s="599"/>
      <c r="Z23" s="588"/>
      <c r="AA23" s="599"/>
      <c r="AB23" s="588"/>
    </row>
    <row r="24" spans="1:28" x14ac:dyDescent="0.25">
      <c r="A24" s="592">
        <v>21</v>
      </c>
      <c r="B24" s="593"/>
      <c r="C24" s="595" t="s">
        <v>373</v>
      </c>
      <c r="D24" s="597">
        <v>39875</v>
      </c>
      <c r="E24" s="601">
        <f>D24+416</f>
        <v>40291</v>
      </c>
      <c r="F24" s="599" t="s">
        <v>374</v>
      </c>
      <c r="G24" s="588" t="s">
        <v>103</v>
      </c>
      <c r="H24" s="597">
        <v>40877</v>
      </c>
      <c r="I24" s="588" t="s">
        <v>375</v>
      </c>
      <c r="J24" s="599"/>
      <c r="K24" s="588">
        <v>6206.6206000000002</v>
      </c>
      <c r="L24" s="599"/>
      <c r="M24" s="601">
        <v>40912</v>
      </c>
      <c r="N24" s="599" t="s">
        <v>742</v>
      </c>
      <c r="O24" s="588"/>
      <c r="P24" s="599"/>
      <c r="Q24" s="588"/>
      <c r="R24" s="599"/>
      <c r="S24" s="588"/>
      <c r="T24" s="599"/>
      <c r="U24" s="601">
        <v>41751</v>
      </c>
      <c r="V24" s="599" t="s">
        <v>876</v>
      </c>
      <c r="W24" s="607"/>
      <c r="X24" s="588"/>
      <c r="Y24" s="597">
        <v>42059</v>
      </c>
      <c r="Z24" s="588" t="s">
        <v>1374</v>
      </c>
      <c r="AA24" s="599"/>
      <c r="AB24" s="588"/>
    </row>
    <row r="25" spans="1:28" ht="30" x14ac:dyDescent="0.25">
      <c r="A25" s="592">
        <v>22</v>
      </c>
      <c r="B25" s="593"/>
      <c r="C25" s="595" t="s">
        <v>393</v>
      </c>
      <c r="D25" s="597">
        <v>40910</v>
      </c>
      <c r="E25" s="601">
        <f>D25+416</f>
        <v>41326</v>
      </c>
      <c r="F25" s="599" t="s">
        <v>394</v>
      </c>
      <c r="G25" s="588"/>
      <c r="H25" s="599"/>
      <c r="I25" s="588"/>
      <c r="J25" s="599"/>
      <c r="K25" s="588"/>
      <c r="L25" s="599"/>
      <c r="M25" s="588"/>
      <c r="N25" s="599"/>
      <c r="O25" s="588"/>
      <c r="P25" s="599"/>
      <c r="Q25" s="588"/>
      <c r="R25" s="599"/>
      <c r="S25" s="588"/>
      <c r="T25" s="599"/>
      <c r="U25" s="588"/>
      <c r="V25" s="599"/>
      <c r="W25" s="607"/>
      <c r="X25" s="588"/>
      <c r="Y25" s="599"/>
      <c r="Z25" s="588"/>
      <c r="AA25" s="599"/>
      <c r="AB25" s="588"/>
    </row>
    <row r="26" spans="1:28" x14ac:dyDescent="0.25">
      <c r="A26" s="592">
        <v>23</v>
      </c>
      <c r="B26" s="593"/>
      <c r="C26" s="595" t="s">
        <v>1285</v>
      </c>
      <c r="D26" s="597"/>
      <c r="E26" s="601"/>
      <c r="F26" s="599"/>
      <c r="G26" s="588"/>
      <c r="H26" s="599"/>
      <c r="I26" s="588"/>
      <c r="J26" s="599"/>
      <c r="K26" s="588"/>
      <c r="L26" s="599"/>
      <c r="M26" s="588"/>
      <c r="N26" s="599"/>
      <c r="O26" s="588"/>
      <c r="P26" s="599"/>
      <c r="Q26" s="588"/>
      <c r="R26" s="599"/>
      <c r="S26" s="588"/>
      <c r="T26" s="599"/>
      <c r="U26" s="601">
        <v>41863</v>
      </c>
      <c r="V26" s="599" t="s">
        <v>258</v>
      </c>
      <c r="W26" s="607"/>
      <c r="X26" s="588"/>
      <c r="Y26" s="599"/>
      <c r="Z26" s="588"/>
      <c r="AA26" s="599"/>
      <c r="AB26" s="588"/>
    </row>
    <row r="27" spans="1:28" ht="45" x14ac:dyDescent="0.25">
      <c r="A27" s="592">
        <v>24</v>
      </c>
      <c r="B27" s="593"/>
      <c r="C27" s="595" t="s">
        <v>878</v>
      </c>
      <c r="D27" s="597">
        <v>41288</v>
      </c>
      <c r="E27" s="601"/>
      <c r="F27" s="599" t="s">
        <v>879</v>
      </c>
      <c r="G27" s="588"/>
      <c r="H27" s="599"/>
      <c r="I27" s="588"/>
      <c r="J27" s="599"/>
      <c r="K27" s="588" t="s">
        <v>880</v>
      </c>
      <c r="L27" s="599"/>
      <c r="M27" s="588"/>
      <c r="N27" s="599"/>
      <c r="O27" s="588"/>
      <c r="P27" s="599"/>
      <c r="Q27" s="588"/>
      <c r="R27" s="599"/>
      <c r="S27" s="588"/>
      <c r="T27" s="599"/>
      <c r="U27" s="588"/>
      <c r="V27" s="599"/>
      <c r="W27" s="607"/>
      <c r="X27" s="588"/>
      <c r="Y27" s="597">
        <v>42353</v>
      </c>
      <c r="Z27" s="588" t="s">
        <v>1431</v>
      </c>
      <c r="AA27" s="599"/>
      <c r="AB27" s="588"/>
    </row>
    <row r="28" spans="1:28" ht="45" customHeight="1" x14ac:dyDescent="0.25">
      <c r="A28" s="592"/>
      <c r="B28" s="593"/>
      <c r="C28" s="593" t="s">
        <v>925</v>
      </c>
      <c r="D28" s="600"/>
      <c r="E28" s="593"/>
      <c r="F28" s="600"/>
      <c r="G28" s="593"/>
      <c r="H28" s="600"/>
      <c r="I28" s="593"/>
      <c r="J28" s="600"/>
      <c r="K28" s="593"/>
      <c r="L28" s="600"/>
      <c r="M28" s="593"/>
      <c r="N28" s="600"/>
      <c r="O28" s="606">
        <v>41542</v>
      </c>
      <c r="P28" s="600" t="s">
        <v>926</v>
      </c>
      <c r="Q28" s="606">
        <v>41544</v>
      </c>
      <c r="R28" s="600" t="s">
        <v>927</v>
      </c>
      <c r="S28" s="593"/>
      <c r="T28" s="599"/>
      <c r="U28" s="588"/>
      <c r="V28" s="599"/>
      <c r="W28" s="607"/>
      <c r="X28" s="588"/>
      <c r="Y28" s="599"/>
      <c r="Z28" s="588"/>
      <c r="AA28" s="599"/>
      <c r="AB28" s="588"/>
    </row>
    <row r="29" spans="1:28" ht="33" customHeight="1" x14ac:dyDescent="0.25">
      <c r="A29" s="592"/>
      <c r="B29" s="593"/>
      <c r="C29" s="593" t="s">
        <v>987</v>
      </c>
      <c r="D29" s="600"/>
      <c r="E29" s="593"/>
      <c r="F29" s="600"/>
      <c r="G29" s="593"/>
      <c r="H29" s="600"/>
      <c r="I29" s="593"/>
      <c r="J29" s="600"/>
      <c r="K29" s="593"/>
      <c r="L29" s="600"/>
      <c r="M29" s="593"/>
      <c r="N29" s="600"/>
      <c r="O29" s="606"/>
      <c r="P29" s="600"/>
      <c r="Q29" s="606">
        <v>41547</v>
      </c>
      <c r="R29" s="600" t="s">
        <v>767</v>
      </c>
      <c r="S29" s="593"/>
      <c r="T29" s="599"/>
      <c r="U29" s="588"/>
      <c r="V29" s="599"/>
      <c r="W29" s="607"/>
      <c r="X29" s="588"/>
      <c r="Y29" s="599"/>
      <c r="Z29" s="588"/>
      <c r="AA29" s="599"/>
      <c r="AB29" s="588"/>
    </row>
    <row r="30" spans="1:28" ht="30.75" customHeight="1" x14ac:dyDescent="0.25">
      <c r="A30" s="592"/>
      <c r="B30" s="593"/>
      <c r="C30" s="593" t="s">
        <v>988</v>
      </c>
      <c r="D30" s="600"/>
      <c r="E30" s="593"/>
      <c r="F30" s="600"/>
      <c r="G30" s="593"/>
      <c r="H30" s="600"/>
      <c r="I30" s="593"/>
      <c r="J30" s="600"/>
      <c r="K30" s="593"/>
      <c r="L30" s="600"/>
      <c r="M30" s="593"/>
      <c r="N30" s="600"/>
      <c r="O30" s="606"/>
      <c r="P30" s="600"/>
      <c r="Q30" s="606">
        <v>41547</v>
      </c>
      <c r="R30" s="600" t="s">
        <v>767</v>
      </c>
      <c r="S30" s="593"/>
      <c r="T30" s="599"/>
      <c r="U30" s="588"/>
      <c r="V30" s="599"/>
      <c r="W30" s="607"/>
      <c r="X30" s="588"/>
      <c r="Y30" s="599"/>
      <c r="Z30" s="588"/>
      <c r="AA30" s="599"/>
      <c r="AB30" s="588"/>
    </row>
    <row r="31" spans="1:28" ht="33.75" customHeight="1" x14ac:dyDescent="0.25">
      <c r="A31" s="592"/>
      <c r="B31" s="593"/>
      <c r="C31" s="593" t="s">
        <v>988</v>
      </c>
      <c r="D31" s="600"/>
      <c r="E31" s="593"/>
      <c r="F31" s="600"/>
      <c r="G31" s="593"/>
      <c r="H31" s="600"/>
      <c r="I31" s="593"/>
      <c r="J31" s="600"/>
      <c r="K31" s="593"/>
      <c r="L31" s="600"/>
      <c r="M31" s="593"/>
      <c r="N31" s="600"/>
      <c r="O31" s="606"/>
      <c r="P31" s="600"/>
      <c r="Q31" s="606">
        <v>41547</v>
      </c>
      <c r="R31" s="600" t="s">
        <v>767</v>
      </c>
      <c r="S31" s="593"/>
      <c r="T31" s="599"/>
      <c r="U31" s="588"/>
      <c r="V31" s="599"/>
      <c r="W31" s="607"/>
      <c r="X31" s="588"/>
      <c r="Y31" s="599"/>
      <c r="Z31" s="588"/>
      <c r="AA31" s="599"/>
      <c r="AB31" s="588"/>
    </row>
    <row r="32" spans="1:28" ht="15.75" thickBot="1" x14ac:dyDescent="0.3">
      <c r="A32" s="615"/>
      <c r="B32" s="616"/>
      <c r="C32" s="617" t="s">
        <v>1320</v>
      </c>
      <c r="D32" s="618"/>
      <c r="E32" s="619"/>
      <c r="F32" s="620"/>
      <c r="G32" s="621"/>
      <c r="H32" s="620"/>
      <c r="I32" s="621"/>
      <c r="J32" s="620"/>
      <c r="K32" s="621"/>
      <c r="L32" s="620"/>
      <c r="M32" s="621"/>
      <c r="N32" s="620"/>
      <c r="O32" s="621"/>
      <c r="P32" s="620"/>
      <c r="Q32" s="621"/>
      <c r="R32" s="620"/>
      <c r="S32" s="621"/>
      <c r="T32" s="620"/>
      <c r="U32" s="619"/>
      <c r="V32" s="620"/>
      <c r="W32" s="622"/>
      <c r="X32" s="621"/>
      <c r="Y32" s="618">
        <v>42087</v>
      </c>
      <c r="Z32" s="621" t="s">
        <v>876</v>
      </c>
      <c r="AA32" s="619"/>
      <c r="AB32" s="620"/>
    </row>
    <row r="33" spans="1:9" x14ac:dyDescent="0.25">
      <c r="A33" s="13"/>
      <c r="B33" s="14"/>
      <c r="C33" s="15"/>
      <c r="D33" s="16"/>
      <c r="E33" s="16"/>
      <c r="F33" s="13"/>
      <c r="G33" s="13"/>
      <c r="H33" s="13"/>
      <c r="I33" s="13"/>
    </row>
    <row r="34" spans="1:9" x14ac:dyDescent="0.25">
      <c r="A34" s="13"/>
      <c r="B34" s="14"/>
      <c r="C34" s="15"/>
      <c r="D34" s="16"/>
      <c r="E34" s="16"/>
      <c r="F34" s="13"/>
      <c r="G34" s="13"/>
      <c r="H34" s="13"/>
      <c r="I34" s="13"/>
    </row>
    <row r="35" spans="1:9" x14ac:dyDescent="0.25">
      <c r="A35" s="13"/>
      <c r="B35" s="14"/>
      <c r="C35" s="15"/>
      <c r="D35" s="16"/>
      <c r="E35" s="16"/>
      <c r="F35" s="13"/>
      <c r="G35" s="13"/>
      <c r="H35" s="13"/>
      <c r="I35" s="13"/>
    </row>
    <row r="36" spans="1:9" x14ac:dyDescent="0.25">
      <c r="A36" s="13"/>
      <c r="B36" s="14"/>
      <c r="C36" s="15"/>
      <c r="D36" s="16"/>
      <c r="E36" s="16"/>
      <c r="F36" s="13"/>
      <c r="G36" s="13"/>
      <c r="H36" s="13"/>
      <c r="I36" s="13"/>
    </row>
    <row r="37" spans="1:9" x14ac:dyDescent="0.25">
      <c r="A37" s="13"/>
      <c r="B37" s="14"/>
      <c r="C37" s="15"/>
      <c r="D37" s="16"/>
      <c r="E37" s="16"/>
      <c r="F37" s="13"/>
      <c r="G37" s="13"/>
      <c r="H37" s="13"/>
      <c r="I37" s="13"/>
    </row>
    <row r="38" spans="1:9" x14ac:dyDescent="0.25">
      <c r="A38" s="13"/>
      <c r="B38" s="14"/>
      <c r="C38" s="15"/>
      <c r="D38" s="16"/>
      <c r="E38" s="16"/>
      <c r="F38" s="13"/>
      <c r="G38" s="13"/>
      <c r="H38" s="13"/>
      <c r="I38" s="13"/>
    </row>
    <row r="39" spans="1:9" x14ac:dyDescent="0.25">
      <c r="A39" s="13"/>
      <c r="B39" s="14"/>
      <c r="C39" s="15"/>
      <c r="D39" s="16"/>
      <c r="E39" s="16"/>
      <c r="F39" s="13"/>
      <c r="G39" s="13"/>
      <c r="H39" s="13"/>
      <c r="I39" s="13"/>
    </row>
    <row r="40" spans="1:9" x14ac:dyDescent="0.25">
      <c r="A40" s="13"/>
      <c r="B40" s="14"/>
      <c r="C40" s="15"/>
      <c r="D40" s="16"/>
      <c r="E40" s="16"/>
      <c r="F40" s="13"/>
      <c r="G40" s="13"/>
      <c r="H40" s="13"/>
      <c r="I40" s="13"/>
    </row>
    <row r="41" spans="1:9" x14ac:dyDescent="0.25">
      <c r="A41" s="13"/>
      <c r="B41" s="14"/>
      <c r="C41" s="15"/>
      <c r="D41" s="16"/>
      <c r="E41" s="16"/>
      <c r="F41" s="13"/>
      <c r="G41" s="13"/>
      <c r="H41" s="13"/>
      <c r="I41" s="13"/>
    </row>
    <row r="42" spans="1:9" x14ac:dyDescent="0.25">
      <c r="A42" s="13"/>
      <c r="B42" s="14"/>
      <c r="C42" s="15"/>
      <c r="D42" s="16"/>
      <c r="E42" s="16"/>
      <c r="F42" s="13"/>
      <c r="G42" s="13"/>
      <c r="H42" s="13"/>
      <c r="I42" s="13"/>
    </row>
    <row r="43" spans="1:9" x14ac:dyDescent="0.25">
      <c r="A43" s="13"/>
      <c r="B43" s="14"/>
      <c r="C43" s="15"/>
      <c r="D43" s="16"/>
      <c r="E43" s="16"/>
      <c r="F43" s="13"/>
      <c r="G43" s="13"/>
      <c r="H43" s="13"/>
      <c r="I43" s="13"/>
    </row>
    <row r="44" spans="1:9" x14ac:dyDescent="0.25">
      <c r="A44" s="13"/>
      <c r="B44" s="14"/>
      <c r="C44" s="15"/>
      <c r="D44" s="16"/>
      <c r="E44" s="16"/>
      <c r="F44" s="13"/>
      <c r="G44" s="13"/>
      <c r="H44" s="13"/>
      <c r="I44" s="13"/>
    </row>
    <row r="45" spans="1:9" x14ac:dyDescent="0.25">
      <c r="A45" s="13"/>
      <c r="B45" s="14"/>
      <c r="C45" s="15"/>
      <c r="D45" s="16"/>
      <c r="E45" s="16"/>
      <c r="F45" s="13"/>
      <c r="G45" s="13"/>
      <c r="H45" s="13"/>
      <c r="I45" s="13"/>
    </row>
    <row r="46" spans="1:9" x14ac:dyDescent="0.25">
      <c r="A46" s="13"/>
      <c r="B46" s="14"/>
      <c r="C46" s="15"/>
      <c r="D46" s="16"/>
      <c r="E46" s="16"/>
      <c r="F46" s="13"/>
      <c r="G46" s="13"/>
      <c r="H46" s="13"/>
      <c r="I46" s="13"/>
    </row>
    <row r="47" spans="1:9" x14ac:dyDescent="0.25">
      <c r="A47" s="13"/>
      <c r="B47" s="14"/>
      <c r="C47" s="15"/>
      <c r="D47" s="16"/>
      <c r="E47" s="16"/>
      <c r="F47" s="13"/>
      <c r="G47" s="13"/>
      <c r="H47" s="13"/>
      <c r="I47" s="13"/>
    </row>
    <row r="48" spans="1:9" x14ac:dyDescent="0.25">
      <c r="A48" s="13"/>
      <c r="B48" s="14"/>
      <c r="C48" s="15"/>
      <c r="D48" s="16"/>
      <c r="E48" s="16"/>
      <c r="F48" s="13"/>
      <c r="G48" s="13"/>
      <c r="H48" s="13"/>
      <c r="I48" s="13"/>
    </row>
    <row r="49" spans="1:9" x14ac:dyDescent="0.25">
      <c r="A49" s="13"/>
      <c r="B49" s="14"/>
      <c r="C49" s="15"/>
      <c r="D49" s="13"/>
      <c r="E49" s="16"/>
      <c r="F49" s="13"/>
      <c r="G49" s="13"/>
      <c r="H49" s="13"/>
      <c r="I49" s="13"/>
    </row>
    <row r="50" spans="1:9" x14ac:dyDescent="0.25">
      <c r="A50" s="13"/>
      <c r="B50" s="14"/>
      <c r="C50" s="15"/>
      <c r="D50" s="16"/>
      <c r="E50" s="16"/>
      <c r="F50" s="13"/>
      <c r="G50" s="13"/>
      <c r="H50" s="13"/>
      <c r="I50" s="13"/>
    </row>
    <row r="51" spans="1:9" x14ac:dyDescent="0.25">
      <c r="A51" s="13"/>
      <c r="B51" s="17"/>
      <c r="C51" s="15"/>
      <c r="D51" s="16"/>
      <c r="E51" s="16"/>
      <c r="F51" s="13"/>
      <c r="G51" s="13"/>
      <c r="H51" s="13"/>
      <c r="I51" s="13"/>
    </row>
    <row r="52" spans="1:9" x14ac:dyDescent="0.25">
      <c r="A52" s="13"/>
      <c r="B52" s="17"/>
      <c r="C52" s="15"/>
      <c r="D52" s="16"/>
      <c r="E52" s="16"/>
      <c r="F52" s="13"/>
      <c r="G52" s="13"/>
      <c r="H52" s="13"/>
      <c r="I52" s="13"/>
    </row>
    <row r="53" spans="1:9" x14ac:dyDescent="0.25">
      <c r="A53" s="13"/>
      <c r="B53" s="17"/>
      <c r="C53" s="15"/>
      <c r="D53" s="16"/>
      <c r="E53" s="16"/>
      <c r="F53" s="13"/>
      <c r="G53" s="13"/>
      <c r="H53" s="13"/>
      <c r="I53" s="13"/>
    </row>
    <row r="54" spans="1:9" x14ac:dyDescent="0.25">
      <c r="A54" s="13"/>
      <c r="B54" s="17"/>
      <c r="C54" s="15"/>
      <c r="D54" s="16"/>
      <c r="E54" s="16"/>
      <c r="F54" s="13"/>
      <c r="G54" s="13"/>
      <c r="H54" s="13"/>
      <c r="I54" s="13"/>
    </row>
    <row r="55" spans="1:9" x14ac:dyDescent="0.25">
      <c r="A55" s="13"/>
      <c r="B55" s="17"/>
      <c r="C55" s="15"/>
      <c r="D55" s="13"/>
      <c r="E55" s="16"/>
      <c r="F55" s="13"/>
      <c r="G55" s="13"/>
      <c r="H55" s="13"/>
      <c r="I55" s="13"/>
    </row>
    <row r="56" spans="1:9" x14ac:dyDescent="0.25">
      <c r="A56" s="13"/>
      <c r="B56" s="17"/>
      <c r="C56" s="15"/>
      <c r="D56" s="13"/>
      <c r="E56" s="16"/>
      <c r="F56" s="13"/>
      <c r="G56" s="13"/>
      <c r="H56" s="13"/>
      <c r="I56" s="13"/>
    </row>
    <row r="57" spans="1:9" x14ac:dyDescent="0.25">
      <c r="A57" s="13"/>
      <c r="B57" s="17"/>
      <c r="C57" s="15"/>
      <c r="D57" s="13"/>
      <c r="E57" s="16"/>
      <c r="F57" s="13"/>
      <c r="G57" s="13"/>
      <c r="H57" s="13"/>
      <c r="I57" s="13"/>
    </row>
    <row r="58" spans="1:9" x14ac:dyDescent="0.25">
      <c r="A58" s="13"/>
      <c r="B58" s="17"/>
      <c r="C58" s="15"/>
      <c r="D58" s="13"/>
      <c r="E58" s="16"/>
      <c r="F58" s="13"/>
      <c r="G58" s="13"/>
      <c r="H58" s="13"/>
      <c r="I58" s="13"/>
    </row>
    <row r="59" spans="1:9" x14ac:dyDescent="0.25">
      <c r="A59" s="13"/>
      <c r="B59" s="17"/>
      <c r="C59" s="15"/>
      <c r="D59" s="13"/>
      <c r="E59" s="16"/>
      <c r="F59" s="13"/>
      <c r="G59" s="13"/>
      <c r="H59" s="13"/>
      <c r="I59" s="13"/>
    </row>
    <row r="60" spans="1:9" x14ac:dyDescent="0.25">
      <c r="A60" s="13"/>
      <c r="B60" s="17"/>
      <c r="C60" s="15"/>
      <c r="D60" s="13"/>
      <c r="E60" s="16"/>
      <c r="F60" s="13"/>
      <c r="G60" s="13"/>
      <c r="H60" s="13"/>
      <c r="I60" s="13"/>
    </row>
    <row r="61" spans="1:9" x14ac:dyDescent="0.25">
      <c r="A61" s="13"/>
      <c r="B61" s="17"/>
      <c r="C61" s="15"/>
      <c r="D61" s="13"/>
      <c r="E61" s="16"/>
      <c r="F61" s="13"/>
      <c r="G61" s="13"/>
      <c r="H61" s="13"/>
      <c r="I61" s="13"/>
    </row>
    <row r="62" spans="1:9" x14ac:dyDescent="0.25">
      <c r="A62" s="13"/>
      <c r="B62" s="17"/>
      <c r="C62" s="15"/>
      <c r="D62" s="13"/>
      <c r="E62" s="16"/>
      <c r="F62" s="13"/>
      <c r="G62" s="13"/>
      <c r="H62" s="13"/>
      <c r="I62" s="13"/>
    </row>
    <row r="63" spans="1:9" x14ac:dyDescent="0.25">
      <c r="A63" s="13"/>
      <c r="B63" s="17"/>
      <c r="C63" s="15"/>
      <c r="D63" s="13"/>
      <c r="E63" s="16"/>
      <c r="F63" s="13"/>
      <c r="G63" s="13"/>
      <c r="H63" s="13"/>
      <c r="I63" s="13"/>
    </row>
    <row r="64" spans="1:9" x14ac:dyDescent="0.25">
      <c r="A64" s="13"/>
      <c r="B64" s="17"/>
      <c r="C64" s="15"/>
      <c r="D64" s="13"/>
      <c r="E64" s="16"/>
      <c r="F64" s="13"/>
      <c r="G64" s="13"/>
      <c r="H64" s="13"/>
      <c r="I64" s="13"/>
    </row>
    <row r="65" spans="1:9" x14ac:dyDescent="0.25">
      <c r="A65" s="13"/>
      <c r="B65" s="17"/>
      <c r="C65" s="15"/>
      <c r="D65" s="13"/>
      <c r="E65" s="16"/>
      <c r="F65" s="13"/>
      <c r="G65" s="13"/>
      <c r="H65" s="13"/>
      <c r="I65" s="13"/>
    </row>
    <row r="66" spans="1:9" x14ac:dyDescent="0.25">
      <c r="A66" s="13"/>
      <c r="B66" s="17"/>
      <c r="C66" s="15"/>
      <c r="D66" s="13"/>
      <c r="E66" s="16"/>
      <c r="F66" s="13"/>
      <c r="G66" s="13"/>
      <c r="H66" s="13"/>
      <c r="I66" s="13"/>
    </row>
    <row r="67" spans="1:9" x14ac:dyDescent="0.25">
      <c r="A67" s="13"/>
      <c r="B67" s="17"/>
      <c r="C67" s="15"/>
      <c r="D67" s="13"/>
      <c r="E67" s="13"/>
      <c r="F67" s="13"/>
      <c r="G67" s="13"/>
      <c r="H67" s="13"/>
      <c r="I67" s="13"/>
    </row>
    <row r="68" spans="1:9" x14ac:dyDescent="0.25">
      <c r="A68" s="13"/>
      <c r="B68" s="17"/>
      <c r="C68" s="15"/>
      <c r="D68" s="13"/>
      <c r="E68" s="13"/>
      <c r="F68" s="13"/>
      <c r="G68" s="13"/>
      <c r="H68" s="13"/>
      <c r="I68" s="13"/>
    </row>
    <row r="69" spans="1:9" x14ac:dyDescent="0.25">
      <c r="A69" s="13"/>
      <c r="B69" s="17"/>
      <c r="C69" s="15"/>
      <c r="D69" s="13"/>
      <c r="E69" s="13"/>
      <c r="F69" s="13"/>
      <c r="G69" s="13"/>
      <c r="H69" s="13"/>
      <c r="I69" s="13"/>
    </row>
    <row r="70" spans="1:9" x14ac:dyDescent="0.25">
      <c r="A70" s="13"/>
      <c r="B70" s="17"/>
      <c r="C70" s="15"/>
      <c r="D70" s="13"/>
      <c r="E70" s="13"/>
      <c r="F70" s="13"/>
      <c r="G70" s="13"/>
      <c r="H70" s="13"/>
      <c r="I70" s="13"/>
    </row>
    <row r="71" spans="1:9" x14ac:dyDescent="0.25">
      <c r="A71" s="13"/>
      <c r="B71" s="17"/>
      <c r="C71" s="15"/>
      <c r="D71" s="13"/>
      <c r="E71" s="13"/>
      <c r="F71" s="13"/>
      <c r="G71" s="13"/>
      <c r="H71" s="13"/>
      <c r="I71" s="13"/>
    </row>
    <row r="72" spans="1:9" x14ac:dyDescent="0.25">
      <c r="A72" s="13"/>
      <c r="B72" s="17"/>
      <c r="C72" s="15"/>
      <c r="D72" s="13"/>
      <c r="E72" s="13"/>
      <c r="F72" s="13"/>
      <c r="G72" s="13"/>
      <c r="H72" s="13"/>
      <c r="I72" s="13"/>
    </row>
    <row r="73" spans="1:9" x14ac:dyDescent="0.25">
      <c r="A73" s="13"/>
      <c r="B73" s="17"/>
      <c r="C73" s="15"/>
      <c r="D73" s="13"/>
      <c r="E73" s="13"/>
      <c r="F73" s="13"/>
      <c r="G73" s="13"/>
      <c r="H73" s="13"/>
      <c r="I73" s="13"/>
    </row>
    <row r="74" spans="1:9" x14ac:dyDescent="0.25">
      <c r="A74" s="13"/>
      <c r="B74" s="17"/>
      <c r="C74" s="15"/>
      <c r="D74" s="13"/>
      <c r="E74" s="13"/>
      <c r="F74" s="13"/>
      <c r="G74" s="13"/>
      <c r="H74" s="13"/>
      <c r="I74" s="13"/>
    </row>
    <row r="75" spans="1:9" x14ac:dyDescent="0.25">
      <c r="A75" s="13"/>
      <c r="B75" s="17"/>
      <c r="C75" s="15"/>
      <c r="D75" s="13"/>
      <c r="E75" s="13"/>
      <c r="F75" s="13"/>
      <c r="G75" s="13"/>
      <c r="H75" s="13"/>
      <c r="I75" s="13"/>
    </row>
    <row r="76" spans="1:9" x14ac:dyDescent="0.25">
      <c r="A76" s="13"/>
      <c r="B76" s="17"/>
      <c r="C76" s="15"/>
      <c r="D76" s="13"/>
      <c r="E76" s="13"/>
      <c r="F76" s="13"/>
      <c r="G76" s="13"/>
      <c r="H76" s="13"/>
      <c r="I76" s="13"/>
    </row>
    <row r="77" spans="1:9" x14ac:dyDescent="0.25">
      <c r="A77" s="13"/>
      <c r="B77" s="17"/>
      <c r="C77" s="15"/>
      <c r="D77" s="13"/>
      <c r="E77" s="13"/>
      <c r="F77" s="13"/>
      <c r="G77" s="13"/>
      <c r="H77" s="13"/>
      <c r="I77" s="13"/>
    </row>
    <row r="78" spans="1:9" x14ac:dyDescent="0.25">
      <c r="A78" s="13"/>
      <c r="B78" s="17"/>
      <c r="C78" s="15"/>
      <c r="D78" s="13"/>
      <c r="E78" s="13"/>
      <c r="F78" s="13"/>
      <c r="G78" s="13"/>
      <c r="H78" s="13"/>
      <c r="I78" s="13"/>
    </row>
    <row r="79" spans="1:9" x14ac:dyDescent="0.25">
      <c r="A79" s="13"/>
      <c r="B79" s="17"/>
      <c r="C79" s="15"/>
      <c r="D79" s="13"/>
      <c r="E79" s="13"/>
      <c r="F79" s="13"/>
      <c r="G79" s="13"/>
      <c r="H79" s="13"/>
      <c r="I79" s="13"/>
    </row>
    <row r="80" spans="1:9" x14ac:dyDescent="0.25">
      <c r="A80" s="13"/>
      <c r="B80" s="17"/>
      <c r="C80" s="15"/>
      <c r="D80" s="13"/>
      <c r="E80" s="13"/>
      <c r="F80" s="13"/>
      <c r="G80" s="13"/>
      <c r="H80" s="13"/>
      <c r="I80" s="13"/>
    </row>
    <row r="81" spans="1:9" x14ac:dyDescent="0.25">
      <c r="A81" s="13"/>
      <c r="B81" s="17"/>
      <c r="C81" s="15"/>
      <c r="D81" s="13"/>
      <c r="E81" s="13"/>
      <c r="F81" s="13"/>
      <c r="G81" s="13"/>
      <c r="H81" s="13"/>
      <c r="I81" s="13"/>
    </row>
    <row r="82" spans="1:9" x14ac:dyDescent="0.25">
      <c r="A82" s="13"/>
      <c r="B82" s="17"/>
      <c r="C82" s="15"/>
      <c r="D82" s="13"/>
      <c r="E82" s="13"/>
      <c r="F82" s="13"/>
      <c r="G82" s="13"/>
      <c r="H82" s="13"/>
      <c r="I82" s="13"/>
    </row>
    <row r="83" spans="1:9" x14ac:dyDescent="0.25">
      <c r="A83" s="13"/>
      <c r="B83" s="17"/>
      <c r="C83" s="15"/>
      <c r="D83" s="13"/>
      <c r="E83" s="13"/>
      <c r="F83" s="13"/>
      <c r="G83" s="13"/>
      <c r="H83" s="13"/>
      <c r="I83" s="13"/>
    </row>
    <row r="84" spans="1:9" x14ac:dyDescent="0.25">
      <c r="A84" s="13"/>
      <c r="B84" s="17"/>
      <c r="C84" s="15"/>
      <c r="D84" s="13"/>
      <c r="E84" s="13"/>
      <c r="F84" s="13"/>
      <c r="G84" s="13"/>
      <c r="H84" s="13"/>
      <c r="I84" s="13"/>
    </row>
    <row r="85" spans="1:9" x14ac:dyDescent="0.25">
      <c r="A85" s="13"/>
      <c r="B85" s="17"/>
      <c r="C85" s="15"/>
      <c r="D85" s="13"/>
      <c r="E85" s="13"/>
      <c r="F85" s="13"/>
      <c r="G85" s="13"/>
      <c r="H85" s="13"/>
      <c r="I85" s="13"/>
    </row>
    <row r="86" spans="1:9" x14ac:dyDescent="0.25">
      <c r="A86" s="13"/>
      <c r="B86" s="17"/>
      <c r="C86" s="15"/>
      <c r="D86" s="13"/>
      <c r="E86" s="13"/>
      <c r="F86" s="13"/>
      <c r="G86" s="13"/>
      <c r="H86" s="13"/>
      <c r="I86" s="13"/>
    </row>
    <row r="87" spans="1:9" x14ac:dyDescent="0.25">
      <c r="A87" s="13"/>
      <c r="B87" s="17"/>
      <c r="C87" s="15"/>
      <c r="D87" s="13"/>
      <c r="E87" s="13"/>
      <c r="F87" s="13"/>
      <c r="G87" s="13"/>
      <c r="H87" s="13"/>
      <c r="I87" s="13"/>
    </row>
    <row r="88" spans="1:9" x14ac:dyDescent="0.25">
      <c r="A88" s="13"/>
      <c r="B88" s="17"/>
      <c r="C88" s="15"/>
      <c r="D88" s="13"/>
      <c r="E88" s="13"/>
      <c r="F88" s="13"/>
      <c r="G88" s="13"/>
      <c r="H88" s="13"/>
      <c r="I88" s="13"/>
    </row>
    <row r="89" spans="1:9" x14ac:dyDescent="0.25">
      <c r="A89" s="13"/>
      <c r="B89" s="17"/>
      <c r="C89" s="15"/>
      <c r="D89" s="13"/>
      <c r="E89" s="13"/>
      <c r="F89" s="13"/>
      <c r="G89" s="13"/>
      <c r="H89" s="13"/>
      <c r="I89" s="13"/>
    </row>
    <row r="90" spans="1:9" x14ac:dyDescent="0.25">
      <c r="A90" s="13"/>
      <c r="B90" s="17"/>
      <c r="C90" s="15"/>
      <c r="D90" s="13"/>
      <c r="E90" s="13"/>
      <c r="F90" s="13"/>
      <c r="G90" s="13"/>
      <c r="H90" s="13"/>
      <c r="I90" s="13"/>
    </row>
    <row r="91" spans="1:9" x14ac:dyDescent="0.25">
      <c r="A91" s="13"/>
      <c r="B91" s="17"/>
      <c r="C91" s="15"/>
      <c r="D91" s="13"/>
      <c r="E91" s="13"/>
      <c r="F91" s="13"/>
      <c r="G91" s="13"/>
      <c r="H91" s="13"/>
      <c r="I91" s="13"/>
    </row>
    <row r="92" spans="1:9" x14ac:dyDescent="0.25">
      <c r="A92" s="13"/>
      <c r="B92" s="17"/>
      <c r="C92" s="15"/>
      <c r="D92" s="13"/>
      <c r="E92" s="13"/>
      <c r="F92" s="13"/>
      <c r="G92" s="13"/>
      <c r="H92" s="13"/>
      <c r="I92" s="13"/>
    </row>
    <row r="93" spans="1:9" x14ac:dyDescent="0.25">
      <c r="A93" s="13"/>
      <c r="B93" s="17"/>
      <c r="C93" s="15"/>
      <c r="D93" s="13"/>
      <c r="E93" s="13"/>
      <c r="F93" s="13"/>
      <c r="G93" s="13"/>
      <c r="H93" s="13"/>
      <c r="I93" s="13"/>
    </row>
    <row r="94" spans="1:9" x14ac:dyDescent="0.25">
      <c r="A94" s="13"/>
      <c r="B94" s="17"/>
      <c r="C94" s="15"/>
      <c r="D94" s="13"/>
      <c r="E94" s="13"/>
      <c r="F94" s="13"/>
      <c r="G94" s="13"/>
      <c r="H94" s="13"/>
      <c r="I94" s="13"/>
    </row>
    <row r="95" spans="1:9" x14ac:dyDescent="0.25">
      <c r="A95" s="13"/>
      <c r="B95" s="17"/>
      <c r="C95" s="15"/>
      <c r="D95" s="13"/>
      <c r="E95" s="13"/>
      <c r="F95" s="13"/>
      <c r="G95" s="13"/>
      <c r="H95" s="13"/>
      <c r="I95" s="13"/>
    </row>
    <row r="96" spans="1:9" x14ac:dyDescent="0.25">
      <c r="A96" s="13"/>
      <c r="B96" s="17"/>
      <c r="C96" s="15"/>
      <c r="D96" s="13"/>
      <c r="E96" s="13"/>
      <c r="F96" s="13"/>
      <c r="G96" s="13"/>
      <c r="H96" s="13"/>
      <c r="I96" s="13"/>
    </row>
    <row r="97" spans="1:9" x14ac:dyDescent="0.25">
      <c r="A97" s="13"/>
      <c r="B97" s="17"/>
      <c r="C97" s="15"/>
      <c r="D97" s="13"/>
      <c r="E97" s="13"/>
      <c r="F97" s="13"/>
      <c r="G97" s="13"/>
      <c r="H97" s="13"/>
      <c r="I97" s="13"/>
    </row>
    <row r="98" spans="1:9" x14ac:dyDescent="0.25">
      <c r="A98" s="13"/>
      <c r="B98" s="17"/>
      <c r="C98" s="15"/>
      <c r="D98" s="13"/>
      <c r="E98" s="13"/>
      <c r="F98" s="13"/>
      <c r="G98" s="13"/>
      <c r="H98" s="13"/>
      <c r="I98" s="13"/>
    </row>
    <row r="99" spans="1:9" x14ac:dyDescent="0.25">
      <c r="A99" s="13"/>
      <c r="B99" s="17"/>
      <c r="C99" s="15"/>
      <c r="D99" s="13"/>
      <c r="E99" s="13"/>
      <c r="F99" s="13"/>
      <c r="G99" s="13"/>
      <c r="H99" s="13"/>
      <c r="I99" s="13"/>
    </row>
    <row r="100" spans="1:9" x14ac:dyDescent="0.25">
      <c r="A100" s="13"/>
      <c r="B100" s="17"/>
      <c r="C100" s="15"/>
      <c r="D100" s="13"/>
      <c r="E100" s="13"/>
      <c r="F100" s="13"/>
      <c r="G100" s="13"/>
      <c r="H100" s="13"/>
      <c r="I100" s="13"/>
    </row>
    <row r="101" spans="1:9" x14ac:dyDescent="0.25">
      <c r="A101" s="13"/>
      <c r="B101" s="17"/>
      <c r="C101" s="15"/>
      <c r="D101" s="13"/>
      <c r="E101" s="13"/>
      <c r="F101" s="13"/>
      <c r="G101" s="13"/>
      <c r="H101" s="13"/>
      <c r="I101" s="13"/>
    </row>
  </sheetData>
  <mergeCells count="28">
    <mergeCell ref="M1:M3"/>
    <mergeCell ref="S1:S3"/>
    <mergeCell ref="H1:H3"/>
    <mergeCell ref="I1:I3"/>
    <mergeCell ref="J1:J3"/>
    <mergeCell ref="K1:K3"/>
    <mergeCell ref="L1:L3"/>
    <mergeCell ref="T1:T3"/>
    <mergeCell ref="U1:U3"/>
    <mergeCell ref="V1:V3"/>
    <mergeCell ref="Z1:Z3"/>
    <mergeCell ref="W1:W3"/>
    <mergeCell ref="AB1:AB3"/>
    <mergeCell ref="AA1:AA3"/>
    <mergeCell ref="F1:F3"/>
    <mergeCell ref="A1:A3"/>
    <mergeCell ref="B1:B3"/>
    <mergeCell ref="C1:C3"/>
    <mergeCell ref="D1:D3"/>
    <mergeCell ref="E1:E3"/>
    <mergeCell ref="X1:X3"/>
    <mergeCell ref="Y1:Y3"/>
    <mergeCell ref="N1:N3"/>
    <mergeCell ref="O1:O3"/>
    <mergeCell ref="P1:P3"/>
    <mergeCell ref="Q1:Q3"/>
    <mergeCell ref="R1:R3"/>
    <mergeCell ref="G1:G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K243"/>
  <sheetViews>
    <sheetView workbookViewId="0">
      <selection activeCell="C1" sqref="C1"/>
    </sheetView>
  </sheetViews>
  <sheetFormatPr baseColWidth="10" defaultRowHeight="15" x14ac:dyDescent="0.25"/>
  <cols>
    <col min="1" max="1" width="5.42578125" customWidth="1"/>
    <col min="2" max="2" width="14.7109375" customWidth="1"/>
    <col min="3" max="3" width="53.7109375" customWidth="1"/>
    <col min="4" max="4" width="15.140625" customWidth="1"/>
    <col min="5" max="5" width="18.42578125" customWidth="1"/>
    <col min="6" max="6" width="24" customWidth="1"/>
    <col min="7" max="7" width="17.140625" customWidth="1"/>
    <col min="8" max="8" width="12.85546875" customWidth="1"/>
    <col min="9" max="9" width="14.85546875" customWidth="1"/>
    <col min="10" max="10" width="14.140625" customWidth="1"/>
    <col min="11" max="11" width="16.85546875" customWidth="1"/>
  </cols>
  <sheetData>
    <row r="1" spans="1:11" x14ac:dyDescent="0.25">
      <c r="C1" s="81"/>
      <c r="D1" s="81"/>
      <c r="E1" s="81"/>
      <c r="F1" s="81"/>
    </row>
    <row r="2" spans="1:11" x14ac:dyDescent="0.25">
      <c r="C2" s="81"/>
      <c r="D2" s="81"/>
      <c r="E2" s="81"/>
      <c r="F2" s="81"/>
    </row>
    <row r="3" spans="1:11" x14ac:dyDescent="0.25">
      <c r="C3" s="81"/>
      <c r="D3" s="81"/>
      <c r="E3" s="81"/>
      <c r="F3" s="81"/>
    </row>
    <row r="5" spans="1:11" x14ac:dyDescent="0.25">
      <c r="C5" s="392" t="s">
        <v>921</v>
      </c>
    </row>
    <row r="6" spans="1:11" ht="15.75" thickBot="1" x14ac:dyDescent="0.3"/>
    <row r="7" spans="1:11" x14ac:dyDescent="0.25">
      <c r="A7" s="115" t="s">
        <v>243</v>
      </c>
      <c r="B7" s="789" t="s">
        <v>244</v>
      </c>
      <c r="C7" s="789" t="s">
        <v>245</v>
      </c>
      <c r="D7" s="789" t="s">
        <v>246</v>
      </c>
      <c r="E7" s="789" t="s">
        <v>247</v>
      </c>
      <c r="G7" s="377"/>
      <c r="H7" s="806" t="s">
        <v>710</v>
      </c>
      <c r="I7" s="806"/>
      <c r="J7" s="378"/>
      <c r="K7" s="379"/>
    </row>
    <row r="8" spans="1:11" ht="15.75" thickBot="1" x14ac:dyDescent="0.3">
      <c r="A8" s="114"/>
      <c r="B8" s="790"/>
      <c r="C8" s="808"/>
      <c r="D8" s="790"/>
      <c r="E8" s="790"/>
      <c r="G8" s="380"/>
      <c r="H8" s="807"/>
      <c r="I8" s="807"/>
      <c r="J8" s="381"/>
      <c r="K8" s="382"/>
    </row>
    <row r="9" spans="1:11" ht="15.75" thickBot="1" x14ac:dyDescent="0.3">
      <c r="A9" s="112">
        <v>7</v>
      </c>
      <c r="B9" s="809" t="s">
        <v>873</v>
      </c>
      <c r="C9" s="153" t="s">
        <v>934</v>
      </c>
      <c r="D9" s="130"/>
      <c r="E9" s="791" t="s">
        <v>251</v>
      </c>
      <c r="G9" s="383" t="s">
        <v>327</v>
      </c>
      <c r="H9" s="384" t="s">
        <v>250</v>
      </c>
      <c r="I9" s="384" t="s">
        <v>853</v>
      </c>
      <c r="J9" s="384" t="s">
        <v>913</v>
      </c>
      <c r="K9" s="385" t="s">
        <v>289</v>
      </c>
    </row>
    <row r="10" spans="1:11" ht="15.75" thickBot="1" x14ac:dyDescent="0.3">
      <c r="A10" s="113"/>
      <c r="B10" s="810"/>
      <c r="C10" s="371" t="s">
        <v>935</v>
      </c>
      <c r="D10" t="s">
        <v>791</v>
      </c>
      <c r="E10" s="792"/>
      <c r="G10" s="386">
        <v>41437</v>
      </c>
      <c r="H10" s="371"/>
      <c r="I10" s="371" t="s">
        <v>917</v>
      </c>
      <c r="J10" s="371"/>
      <c r="K10" s="373"/>
    </row>
    <row r="11" spans="1:11" ht="15.75" thickBot="1" x14ac:dyDescent="0.3">
      <c r="A11" s="113"/>
      <c r="B11" s="810"/>
      <c r="C11" s="153" t="s">
        <v>936</v>
      </c>
      <c r="E11" s="792"/>
      <c r="G11" s="372"/>
      <c r="H11" s="371"/>
      <c r="I11" s="371" t="s">
        <v>920</v>
      </c>
      <c r="J11" s="371"/>
      <c r="K11" s="373"/>
    </row>
    <row r="12" spans="1:11" ht="15.75" thickBot="1" x14ac:dyDescent="0.3">
      <c r="A12" s="114"/>
      <c r="B12" s="811"/>
      <c r="C12" s="153" t="s">
        <v>937</v>
      </c>
      <c r="D12" s="130"/>
      <c r="E12" s="792"/>
      <c r="G12" s="386">
        <v>41568</v>
      </c>
      <c r="H12" s="371"/>
      <c r="I12" s="371" t="s">
        <v>994</v>
      </c>
      <c r="J12" s="371"/>
      <c r="K12" s="373"/>
    </row>
    <row r="13" spans="1:11" ht="15.75" thickBot="1" x14ac:dyDescent="0.3">
      <c r="A13" s="112">
        <v>8</v>
      </c>
      <c r="B13" s="809" t="s">
        <v>873</v>
      </c>
      <c r="C13" s="153" t="s">
        <v>938</v>
      </c>
      <c r="D13" s="134"/>
      <c r="E13" s="96"/>
      <c r="G13" s="372"/>
      <c r="H13" s="371"/>
      <c r="I13" s="371"/>
      <c r="J13" s="371"/>
      <c r="K13" s="373"/>
    </row>
    <row r="14" spans="1:11" ht="15.75" thickBot="1" x14ac:dyDescent="0.3">
      <c r="A14" s="113"/>
      <c r="B14" s="810"/>
      <c r="C14" s="153" t="s">
        <v>941</v>
      </c>
      <c r="D14" s="108" t="s">
        <v>791</v>
      </c>
      <c r="E14" s="95"/>
      <c r="G14" s="372"/>
      <c r="H14" s="371"/>
      <c r="I14" s="371"/>
      <c r="J14" s="371"/>
      <c r="K14" s="373"/>
    </row>
    <row r="15" spans="1:11" ht="15.75" thickBot="1" x14ac:dyDescent="0.3">
      <c r="A15" s="113"/>
      <c r="B15" s="810"/>
      <c r="C15" s="153" t="s">
        <v>939</v>
      </c>
      <c r="D15" s="132"/>
      <c r="E15" s="95"/>
      <c r="G15" s="372"/>
      <c r="H15" s="371"/>
      <c r="I15" s="371"/>
      <c r="J15" s="371"/>
      <c r="K15" s="373"/>
    </row>
    <row r="16" spans="1:11" ht="15.75" thickBot="1" x14ac:dyDescent="0.3">
      <c r="A16" s="114"/>
      <c r="B16" s="811"/>
      <c r="C16" s="153" t="s">
        <v>940</v>
      </c>
      <c r="D16" s="135"/>
      <c r="E16" s="102" t="s">
        <v>251</v>
      </c>
      <c r="G16" s="372"/>
      <c r="H16" s="371"/>
      <c r="I16" s="371"/>
      <c r="J16" s="371"/>
      <c r="K16" s="373"/>
    </row>
    <row r="17" spans="1:11" ht="15.75" thickBot="1" x14ac:dyDescent="0.3">
      <c r="A17" s="125">
        <v>14</v>
      </c>
      <c r="B17" s="812" t="s">
        <v>873</v>
      </c>
      <c r="C17" s="122" t="s">
        <v>953</v>
      </c>
      <c r="D17" s="108"/>
      <c r="E17" s="91"/>
      <c r="G17" s="372"/>
      <c r="H17" s="371"/>
      <c r="I17" s="371"/>
      <c r="J17" s="371"/>
      <c r="K17" s="373"/>
    </row>
    <row r="18" spans="1:11" ht="15.75" thickBot="1" x14ac:dyDescent="0.3">
      <c r="A18" s="126"/>
      <c r="B18" s="797"/>
      <c r="C18" s="122" t="s">
        <v>954</v>
      </c>
      <c r="D18" s="108"/>
      <c r="E18" s="91"/>
      <c r="G18" s="372"/>
      <c r="H18" s="371"/>
      <c r="I18" s="371"/>
      <c r="J18" s="371"/>
      <c r="K18" s="373"/>
    </row>
    <row r="19" spans="1:11" ht="15.75" thickBot="1" x14ac:dyDescent="0.3">
      <c r="A19" s="126"/>
      <c r="B19" s="797"/>
      <c r="C19" s="153"/>
      <c r="D19" s="108"/>
      <c r="E19" s="91" t="s">
        <v>251</v>
      </c>
      <c r="G19" s="372"/>
      <c r="H19" s="371"/>
      <c r="I19" s="371"/>
      <c r="J19" s="371"/>
      <c r="K19" s="373"/>
    </row>
    <row r="20" spans="1:11" ht="15.75" thickBot="1" x14ac:dyDescent="0.3">
      <c r="A20" s="126"/>
      <c r="B20" s="797"/>
      <c r="C20" s="153"/>
      <c r="D20" s="108"/>
      <c r="E20" s="91"/>
      <c r="G20" s="372"/>
      <c r="H20" s="371"/>
      <c r="I20" s="371"/>
      <c r="J20" s="371"/>
      <c r="K20" s="373"/>
    </row>
    <row r="21" spans="1:11" ht="15.75" thickBot="1" x14ac:dyDescent="0.3">
      <c r="A21" s="127"/>
      <c r="B21" s="798"/>
      <c r="C21" s="343"/>
      <c r="D21" s="109"/>
      <c r="E21" s="92"/>
      <c r="G21" s="372"/>
      <c r="H21" s="371"/>
      <c r="I21" s="371"/>
      <c r="J21" s="371"/>
      <c r="K21" s="373"/>
    </row>
    <row r="22" spans="1:11" ht="15.75" thickBot="1" x14ac:dyDescent="0.3">
      <c r="A22" s="112">
        <v>15</v>
      </c>
      <c r="B22" s="812" t="s">
        <v>873</v>
      </c>
      <c r="C22" s="122" t="s">
        <v>952</v>
      </c>
      <c r="D22" s="107" t="s">
        <v>853</v>
      </c>
      <c r="E22" s="91"/>
      <c r="G22" s="372"/>
      <c r="H22" s="371"/>
      <c r="I22" s="371"/>
      <c r="J22" s="371"/>
      <c r="K22" s="373"/>
    </row>
    <row r="23" spans="1:11" ht="15.75" thickBot="1" x14ac:dyDescent="0.3">
      <c r="A23" s="113"/>
      <c r="B23" s="797"/>
      <c r="C23" s="122" t="s">
        <v>952</v>
      </c>
      <c r="D23" s="108" t="s">
        <v>250</v>
      </c>
      <c r="E23" s="91" t="s">
        <v>251</v>
      </c>
      <c r="G23" s="372"/>
      <c r="H23" s="371"/>
      <c r="I23" s="371"/>
      <c r="J23" s="371"/>
      <c r="K23" s="373"/>
    </row>
    <row r="24" spans="1:11" ht="24.75" customHeight="1" thickBot="1" x14ac:dyDescent="0.3">
      <c r="A24" s="114"/>
      <c r="B24" s="797"/>
      <c r="C24" s="153" t="s">
        <v>874</v>
      </c>
      <c r="D24" s="313"/>
      <c r="E24" s="91"/>
      <c r="G24" s="372"/>
      <c r="H24" s="371"/>
      <c r="I24" s="371"/>
      <c r="J24" s="371"/>
      <c r="K24" s="373"/>
    </row>
    <row r="25" spans="1:11" ht="15.75" customHeight="1" thickBot="1" x14ac:dyDescent="0.3">
      <c r="A25" s="112">
        <v>21</v>
      </c>
      <c r="B25" s="796" t="s">
        <v>873</v>
      </c>
      <c r="C25" s="153" t="s">
        <v>955</v>
      </c>
      <c r="D25" s="801" t="s">
        <v>853</v>
      </c>
      <c r="E25" s="793" t="s">
        <v>251</v>
      </c>
      <c r="G25" s="372"/>
      <c r="H25" s="371"/>
      <c r="I25" s="371"/>
      <c r="J25" s="371"/>
      <c r="K25" s="373"/>
    </row>
    <row r="26" spans="1:11" ht="15.75" thickBot="1" x14ac:dyDescent="0.3">
      <c r="A26" s="113"/>
      <c r="B26" s="797"/>
      <c r="C26" s="343" t="s">
        <v>956</v>
      </c>
      <c r="D26" s="802"/>
      <c r="E26" s="794"/>
      <c r="G26" s="372"/>
      <c r="H26" s="371"/>
      <c r="I26" s="371"/>
      <c r="J26" s="371"/>
      <c r="K26" s="373"/>
    </row>
    <row r="27" spans="1:11" ht="15.75" thickBot="1" x14ac:dyDescent="0.3">
      <c r="A27" s="113"/>
      <c r="B27" s="797"/>
      <c r="C27" s="353"/>
      <c r="D27" s="802"/>
      <c r="E27" s="794"/>
      <c r="G27" s="372"/>
      <c r="H27" s="371"/>
      <c r="I27" s="371"/>
      <c r="J27" s="371"/>
      <c r="K27" s="373"/>
    </row>
    <row r="28" spans="1:11" ht="15.75" thickBot="1" x14ac:dyDescent="0.3">
      <c r="A28" s="114"/>
      <c r="B28" s="798"/>
      <c r="C28" s="353"/>
      <c r="D28" s="803"/>
      <c r="E28" s="795"/>
      <c r="G28" s="372"/>
      <c r="H28" s="371"/>
      <c r="I28" s="371"/>
      <c r="J28" s="371"/>
      <c r="K28" s="373"/>
    </row>
    <row r="29" spans="1:11" ht="15.75" customHeight="1" thickBot="1" x14ac:dyDescent="0.3">
      <c r="A29" s="112">
        <v>22</v>
      </c>
      <c r="B29" s="796" t="s">
        <v>873</v>
      </c>
      <c r="C29" s="315" t="s">
        <v>957</v>
      </c>
      <c r="D29" s="801" t="s">
        <v>250</v>
      </c>
      <c r="E29" s="91"/>
      <c r="G29" s="372"/>
      <c r="H29" s="371"/>
      <c r="I29" s="371"/>
      <c r="J29" s="371"/>
      <c r="K29" s="373"/>
    </row>
    <row r="30" spans="1:11" ht="15.75" thickBot="1" x14ac:dyDescent="0.3">
      <c r="A30" s="113"/>
      <c r="B30" s="797"/>
      <c r="C30" s="315" t="s">
        <v>958</v>
      </c>
      <c r="D30" s="802"/>
      <c r="E30" s="91" t="s">
        <v>251</v>
      </c>
      <c r="G30" s="372"/>
      <c r="H30" s="371"/>
      <c r="I30" s="371"/>
      <c r="J30" s="371"/>
      <c r="K30" s="373"/>
    </row>
    <row r="31" spans="1:11" ht="15.75" thickBot="1" x14ac:dyDescent="0.3">
      <c r="A31" s="113"/>
      <c r="B31" s="797"/>
      <c r="C31" s="315" t="s">
        <v>959</v>
      </c>
      <c r="D31" s="802"/>
      <c r="E31" s="91"/>
      <c r="G31" s="372"/>
      <c r="H31" s="371"/>
      <c r="I31" s="371"/>
      <c r="J31" s="371"/>
      <c r="K31" s="373"/>
    </row>
    <row r="32" spans="1:11" ht="15.75" thickBot="1" x14ac:dyDescent="0.3">
      <c r="A32" s="114"/>
      <c r="B32" s="798"/>
      <c r="C32" s="315"/>
      <c r="D32" s="803"/>
      <c r="E32" s="92"/>
      <c r="G32" s="372"/>
      <c r="H32" s="371"/>
      <c r="I32" s="371"/>
      <c r="J32" s="371"/>
      <c r="K32" s="373"/>
    </row>
    <row r="33" spans="1:11" ht="15.75" customHeight="1" thickBot="1" x14ac:dyDescent="0.3">
      <c r="A33" s="112">
        <v>28</v>
      </c>
      <c r="B33" s="796" t="s">
        <v>873</v>
      </c>
      <c r="C33" s="315" t="s">
        <v>960</v>
      </c>
      <c r="D33" s="799" t="s">
        <v>250</v>
      </c>
      <c r="E33" s="91"/>
      <c r="G33" s="372"/>
      <c r="H33" s="371"/>
      <c r="I33" s="371"/>
      <c r="J33" s="371"/>
      <c r="K33" s="373"/>
    </row>
    <row r="34" spans="1:11" ht="15.75" thickBot="1" x14ac:dyDescent="0.3">
      <c r="A34" s="113"/>
      <c r="B34" s="797"/>
      <c r="C34" s="315" t="s">
        <v>961</v>
      </c>
      <c r="D34" s="800"/>
      <c r="E34" s="91" t="s">
        <v>251</v>
      </c>
      <c r="G34" s="372"/>
      <c r="H34" s="371"/>
      <c r="I34" s="371"/>
      <c r="J34" s="371"/>
      <c r="K34" s="373"/>
    </row>
    <row r="35" spans="1:11" ht="15.75" thickBot="1" x14ac:dyDescent="0.3">
      <c r="A35" s="113"/>
      <c r="B35" s="797"/>
      <c r="C35" s="315" t="s">
        <v>962</v>
      </c>
      <c r="D35" s="800"/>
      <c r="E35" s="91"/>
      <c r="G35" s="372"/>
      <c r="H35" s="371"/>
      <c r="I35" s="371"/>
      <c r="J35" s="371"/>
      <c r="K35" s="373"/>
    </row>
    <row r="36" spans="1:11" ht="15.75" thickBot="1" x14ac:dyDescent="0.3">
      <c r="A36" s="114"/>
      <c r="B36" s="798"/>
      <c r="C36" s="129"/>
      <c r="D36" s="800"/>
      <c r="E36" s="92"/>
      <c r="G36" s="372"/>
      <c r="H36" s="371"/>
      <c r="I36" s="371"/>
      <c r="J36" s="371"/>
      <c r="K36" s="373"/>
    </row>
    <row r="37" spans="1:11" ht="15.75" customHeight="1" thickBot="1" x14ac:dyDescent="0.3">
      <c r="A37" s="125">
        <v>29</v>
      </c>
      <c r="B37" s="796" t="s">
        <v>873</v>
      </c>
      <c r="C37" s="394" t="s">
        <v>963</v>
      </c>
      <c r="D37" s="804" t="s">
        <v>250</v>
      </c>
      <c r="E37" s="367" t="s">
        <v>251</v>
      </c>
      <c r="G37" s="372"/>
      <c r="H37" s="371"/>
      <c r="I37" s="371"/>
      <c r="J37" s="371"/>
      <c r="K37" s="373"/>
    </row>
    <row r="38" spans="1:11" ht="15.75" thickBot="1" x14ac:dyDescent="0.3">
      <c r="A38" s="126"/>
      <c r="B38" s="797"/>
      <c r="C38" s="389"/>
      <c r="D38" s="805"/>
      <c r="E38" s="368"/>
      <c r="G38" s="372"/>
      <c r="H38" s="371"/>
      <c r="I38" s="371"/>
      <c r="J38" s="371"/>
      <c r="K38" s="373"/>
    </row>
    <row r="39" spans="1:11" ht="15.75" customHeight="1" thickBot="1" x14ac:dyDescent="0.3">
      <c r="A39" s="126"/>
      <c r="B39" s="797"/>
      <c r="C39" s="389"/>
      <c r="D39" s="390"/>
      <c r="E39" s="366"/>
      <c r="G39" s="372"/>
      <c r="H39" s="371"/>
      <c r="I39" s="371"/>
      <c r="J39" s="371"/>
      <c r="K39" s="373"/>
    </row>
    <row r="40" spans="1:11" ht="15.75" thickBot="1" x14ac:dyDescent="0.3">
      <c r="A40" s="127"/>
      <c r="B40" s="798"/>
      <c r="C40" s="389"/>
      <c r="D40" s="391"/>
      <c r="E40" s="366"/>
      <c r="G40" s="372"/>
      <c r="H40" s="371"/>
      <c r="I40" s="371"/>
      <c r="J40" s="371"/>
      <c r="K40" s="373"/>
    </row>
    <row r="41" spans="1:11" x14ac:dyDescent="0.25">
      <c r="A41" s="125">
        <v>30</v>
      </c>
      <c r="B41" s="796" t="s">
        <v>873</v>
      </c>
      <c r="C41" s="394" t="s">
        <v>964</v>
      </c>
      <c r="D41" s="390"/>
      <c r="E41" s="367"/>
      <c r="G41" s="372"/>
      <c r="H41" s="371"/>
      <c r="I41" s="371"/>
      <c r="J41" s="371"/>
      <c r="K41" s="373"/>
    </row>
    <row r="42" spans="1:11" x14ac:dyDescent="0.25">
      <c r="A42" s="126"/>
      <c r="B42" s="797"/>
      <c r="C42" s="390"/>
      <c r="D42" s="390" t="s">
        <v>250</v>
      </c>
      <c r="E42" s="368" t="s">
        <v>251</v>
      </c>
      <c r="G42" s="372"/>
      <c r="H42" s="371"/>
      <c r="I42" s="371"/>
      <c r="J42" s="371"/>
      <c r="K42" s="373"/>
    </row>
    <row r="43" spans="1:11" x14ac:dyDescent="0.25">
      <c r="A43" s="126"/>
      <c r="B43" s="797"/>
      <c r="C43" s="390"/>
      <c r="D43" s="390"/>
      <c r="E43" s="368"/>
      <c r="G43" s="372"/>
      <c r="H43" s="371"/>
      <c r="I43" s="371"/>
      <c r="J43" s="371"/>
      <c r="K43" s="373"/>
    </row>
    <row r="44" spans="1:11" ht="15.75" thickBot="1" x14ac:dyDescent="0.3">
      <c r="A44" s="127"/>
      <c r="B44" s="798"/>
      <c r="C44" s="391"/>
      <c r="D44" s="390"/>
      <c r="E44" s="129"/>
      <c r="G44" s="374"/>
      <c r="H44" s="375"/>
      <c r="I44" s="375"/>
      <c r="J44" s="375"/>
      <c r="K44" s="376"/>
    </row>
    <row r="45" spans="1:11" x14ac:dyDescent="0.25">
      <c r="A45" s="125"/>
      <c r="B45" s="796" t="s">
        <v>873</v>
      </c>
      <c r="C45" s="389"/>
      <c r="D45" s="314"/>
      <c r="E45" s="369"/>
    </row>
    <row r="46" spans="1:11" x14ac:dyDescent="0.25">
      <c r="A46" s="126"/>
      <c r="B46" s="797"/>
      <c r="C46" s="390"/>
      <c r="D46" s="366" t="s">
        <v>250</v>
      </c>
      <c r="E46" s="370" t="s">
        <v>251</v>
      </c>
    </row>
    <row r="47" spans="1:11" x14ac:dyDescent="0.25">
      <c r="A47" s="126"/>
      <c r="B47" s="797"/>
      <c r="C47" s="390"/>
      <c r="D47" s="366"/>
      <c r="E47" s="370"/>
    </row>
    <row r="48" spans="1:11" ht="15.75" thickBot="1" x14ac:dyDescent="0.3">
      <c r="A48" s="127"/>
      <c r="B48" s="798"/>
      <c r="C48" s="391"/>
      <c r="D48" s="102"/>
      <c r="E48" s="92"/>
    </row>
    <row r="50" spans="1:5" x14ac:dyDescent="0.25">
      <c r="D50" s="392" t="s">
        <v>1026</v>
      </c>
    </row>
    <row r="51" spans="1:5" ht="15.75" thickBot="1" x14ac:dyDescent="0.3"/>
    <row r="52" spans="1:5" x14ac:dyDescent="0.25">
      <c r="A52" s="424" t="s">
        <v>243</v>
      </c>
      <c r="B52" s="424" t="s">
        <v>244</v>
      </c>
      <c r="C52" s="424" t="s">
        <v>245</v>
      </c>
      <c r="D52" s="424" t="s">
        <v>246</v>
      </c>
      <c r="E52" s="789" t="s">
        <v>247</v>
      </c>
    </row>
    <row r="53" spans="1:5" ht="15.75" thickBot="1" x14ac:dyDescent="0.3">
      <c r="A53" s="425"/>
      <c r="B53" s="425"/>
      <c r="C53" s="426"/>
      <c r="D53" s="425"/>
      <c r="E53" s="790"/>
    </row>
    <row r="54" spans="1:5" ht="30.75" thickBot="1" x14ac:dyDescent="0.3">
      <c r="A54" s="112">
        <v>6</v>
      </c>
      <c r="B54" s="419" t="s">
        <v>873</v>
      </c>
      <c r="C54" s="122" t="s">
        <v>1025</v>
      </c>
      <c r="D54" s="130"/>
      <c r="E54" s="791" t="s">
        <v>251</v>
      </c>
    </row>
    <row r="55" spans="1:5" ht="15.75" thickBot="1" x14ac:dyDescent="0.3">
      <c r="A55" s="426"/>
      <c r="B55" s="420"/>
      <c r="C55" s="122" t="s">
        <v>1013</v>
      </c>
      <c r="D55" t="s">
        <v>791</v>
      </c>
      <c r="E55" s="792"/>
    </row>
    <row r="56" spans="1:5" ht="15.75" thickBot="1" x14ac:dyDescent="0.3">
      <c r="A56" s="426"/>
      <c r="B56" s="420"/>
      <c r="C56" s="122" t="s">
        <v>1014</v>
      </c>
      <c r="E56" s="792"/>
    </row>
    <row r="57" spans="1:5" ht="15.75" thickBot="1" x14ac:dyDescent="0.3">
      <c r="A57" s="425"/>
      <c r="B57" s="421"/>
      <c r="C57" s="122" t="s">
        <v>1015</v>
      </c>
      <c r="D57" s="130"/>
      <c r="E57" s="792"/>
    </row>
    <row r="58" spans="1:5" ht="30.75" thickBot="1" x14ac:dyDescent="0.3">
      <c r="A58" s="112">
        <v>7</v>
      </c>
      <c r="B58" s="419" t="s">
        <v>873</v>
      </c>
      <c r="C58" s="122" t="s">
        <v>1016</v>
      </c>
      <c r="D58" s="134"/>
      <c r="E58" s="412"/>
    </row>
    <row r="59" spans="1:5" ht="15.75" thickBot="1" x14ac:dyDescent="0.3">
      <c r="A59" s="426"/>
      <c r="B59" s="420"/>
      <c r="C59" s="122" t="s">
        <v>1017</v>
      </c>
      <c r="D59" s="108" t="s">
        <v>853</v>
      </c>
      <c r="E59" s="413"/>
    </row>
    <row r="60" spans="1:5" ht="15.75" thickBot="1" x14ac:dyDescent="0.3">
      <c r="A60" s="426"/>
      <c r="B60" s="420"/>
      <c r="C60" s="122" t="s">
        <v>1018</v>
      </c>
      <c r="D60" s="132"/>
      <c r="E60" s="413"/>
    </row>
    <row r="61" spans="1:5" ht="15.75" thickBot="1" x14ac:dyDescent="0.3">
      <c r="A61" s="425"/>
      <c r="B61" s="421"/>
      <c r="C61" s="122" t="s">
        <v>1019</v>
      </c>
      <c r="D61" s="135"/>
      <c r="E61" s="102" t="s">
        <v>251</v>
      </c>
    </row>
    <row r="62" spans="1:5" ht="30.75" thickBot="1" x14ac:dyDescent="0.3">
      <c r="A62" s="125">
        <v>8</v>
      </c>
      <c r="B62" s="422" t="s">
        <v>873</v>
      </c>
      <c r="C62" s="122" t="s">
        <v>1020</v>
      </c>
      <c r="D62" s="108"/>
      <c r="E62" s="370"/>
    </row>
    <row r="63" spans="1:5" ht="15.75" thickBot="1" x14ac:dyDescent="0.3">
      <c r="A63" s="126"/>
      <c r="B63" s="408"/>
      <c r="C63" s="122" t="s">
        <v>1021</v>
      </c>
      <c r="D63" s="108"/>
      <c r="E63" s="370"/>
    </row>
    <row r="64" spans="1:5" ht="15.75" thickBot="1" x14ac:dyDescent="0.3">
      <c r="A64" s="126"/>
      <c r="B64" s="408"/>
      <c r="C64" s="122" t="s">
        <v>1022</v>
      </c>
      <c r="D64" s="108"/>
      <c r="E64" s="370" t="s">
        <v>251</v>
      </c>
    </row>
    <row r="65" spans="1:5" ht="15.75" thickBot="1" x14ac:dyDescent="0.3">
      <c r="A65" s="126"/>
      <c r="B65" s="408"/>
      <c r="C65" s="122"/>
      <c r="D65" s="108"/>
      <c r="E65" s="370"/>
    </row>
    <row r="66" spans="1:5" ht="15.75" thickBot="1" x14ac:dyDescent="0.3">
      <c r="A66" s="127"/>
      <c r="B66" s="409"/>
      <c r="C66" s="122"/>
      <c r="D66" s="109"/>
      <c r="E66" s="92"/>
    </row>
    <row r="67" spans="1:5" ht="30.75" thickBot="1" x14ac:dyDescent="0.3">
      <c r="A67" s="112">
        <v>13</v>
      </c>
      <c r="B67" s="422" t="s">
        <v>873</v>
      </c>
      <c r="C67" s="122" t="s">
        <v>1027</v>
      </c>
      <c r="D67" s="107" t="s">
        <v>853</v>
      </c>
      <c r="E67" s="370"/>
    </row>
    <row r="68" spans="1:5" ht="15.75" thickBot="1" x14ac:dyDescent="0.3">
      <c r="A68" s="426"/>
      <c r="B68" s="408"/>
      <c r="C68" s="122" t="s">
        <v>1028</v>
      </c>
      <c r="D68" s="108" t="s">
        <v>250</v>
      </c>
      <c r="E68" s="370" t="s">
        <v>251</v>
      </c>
    </row>
    <row r="69" spans="1:5" ht="15.75" thickBot="1" x14ac:dyDescent="0.3">
      <c r="A69" s="425"/>
      <c r="B69" s="408"/>
      <c r="C69" s="122" t="s">
        <v>1031</v>
      </c>
      <c r="D69" s="313"/>
      <c r="E69" s="370"/>
    </row>
    <row r="70" spans="1:5" ht="30.75" thickBot="1" x14ac:dyDescent="0.3">
      <c r="A70" s="112">
        <v>14</v>
      </c>
      <c r="B70" s="407" t="s">
        <v>873</v>
      </c>
      <c r="C70" s="122" t="s">
        <v>1029</v>
      </c>
      <c r="D70" s="416" t="s">
        <v>853</v>
      </c>
      <c r="E70" s="793" t="s">
        <v>251</v>
      </c>
    </row>
    <row r="71" spans="1:5" ht="15.75" thickBot="1" x14ac:dyDescent="0.3">
      <c r="A71" s="426"/>
      <c r="B71" s="408"/>
      <c r="C71" s="122" t="s">
        <v>1030</v>
      </c>
      <c r="D71" s="417"/>
      <c r="E71" s="794"/>
    </row>
    <row r="72" spans="1:5" ht="15.75" thickBot="1" x14ac:dyDescent="0.3">
      <c r="A72" s="426"/>
      <c r="B72" s="408"/>
      <c r="C72" s="122"/>
      <c r="D72" s="417"/>
      <c r="E72" s="794"/>
    </row>
    <row r="73" spans="1:5" ht="15.75" thickBot="1" x14ac:dyDescent="0.3">
      <c r="A73" s="425"/>
      <c r="B73" s="409"/>
      <c r="C73" s="153"/>
      <c r="D73" s="418"/>
      <c r="E73" s="795"/>
    </row>
    <row r="74" spans="1:5" ht="30.75" thickBot="1" x14ac:dyDescent="0.3">
      <c r="A74" s="112">
        <v>15</v>
      </c>
      <c r="B74" s="407" t="s">
        <v>873</v>
      </c>
      <c r="C74" s="122" t="s">
        <v>1032</v>
      </c>
      <c r="D74" s="416" t="s">
        <v>250</v>
      </c>
      <c r="E74" s="370"/>
    </row>
    <row r="75" spans="1:5" ht="15.75" thickBot="1" x14ac:dyDescent="0.3">
      <c r="A75" s="426"/>
      <c r="B75" s="408"/>
      <c r="C75" s="122"/>
      <c r="D75" s="417"/>
      <c r="E75" s="370" t="s">
        <v>251</v>
      </c>
    </row>
    <row r="76" spans="1:5" ht="15.75" thickBot="1" x14ac:dyDescent="0.3">
      <c r="A76" s="426"/>
      <c r="B76" s="408"/>
      <c r="C76" s="122"/>
      <c r="D76" s="417"/>
      <c r="E76" s="370"/>
    </row>
    <row r="77" spans="1:5" ht="15.75" thickBot="1" x14ac:dyDescent="0.3">
      <c r="A77" s="425"/>
      <c r="B77" s="409"/>
      <c r="C77" s="122"/>
      <c r="D77" s="418"/>
      <c r="E77" s="92"/>
    </row>
    <row r="78" spans="1:5" ht="30.75" thickBot="1" x14ac:dyDescent="0.3">
      <c r="A78" s="112">
        <v>20</v>
      </c>
      <c r="B78" s="407" t="s">
        <v>873</v>
      </c>
      <c r="C78" s="122" t="s">
        <v>1033</v>
      </c>
      <c r="D78" s="414" t="s">
        <v>250</v>
      </c>
      <c r="E78" s="370"/>
    </row>
    <row r="79" spans="1:5" ht="15.75" thickBot="1" x14ac:dyDescent="0.3">
      <c r="A79" s="426"/>
      <c r="B79" s="408"/>
      <c r="C79" s="122"/>
      <c r="D79" s="415"/>
      <c r="E79" s="370" t="s">
        <v>251</v>
      </c>
    </row>
    <row r="80" spans="1:5" ht="15.75" thickBot="1" x14ac:dyDescent="0.3">
      <c r="A80" s="426"/>
      <c r="B80" s="408"/>
      <c r="C80" s="122"/>
      <c r="D80" s="415"/>
      <c r="E80" s="370"/>
    </row>
    <row r="81" spans="1:5" ht="15.75" thickBot="1" x14ac:dyDescent="0.3">
      <c r="A81" s="425"/>
      <c r="B81" s="409"/>
      <c r="C81" s="122"/>
      <c r="D81" s="415"/>
      <c r="E81" s="92"/>
    </row>
    <row r="82" spans="1:5" ht="30.75" thickBot="1" x14ac:dyDescent="0.3">
      <c r="A82" s="125">
        <v>21</v>
      </c>
      <c r="B82" s="407" t="s">
        <v>873</v>
      </c>
      <c r="C82" s="122" t="s">
        <v>1034</v>
      </c>
      <c r="D82" s="410" t="s">
        <v>250</v>
      </c>
      <c r="E82" s="412" t="s">
        <v>251</v>
      </c>
    </row>
    <row r="83" spans="1:5" ht="15.75" thickBot="1" x14ac:dyDescent="0.3">
      <c r="A83" s="126"/>
      <c r="B83" s="408"/>
      <c r="C83" s="122" t="s">
        <v>1035</v>
      </c>
      <c r="D83" s="411"/>
      <c r="E83" s="413"/>
    </row>
    <row r="84" spans="1:5" ht="15.75" thickBot="1" x14ac:dyDescent="0.3">
      <c r="A84" s="126"/>
      <c r="B84" s="408"/>
      <c r="C84" s="122"/>
      <c r="D84" s="411"/>
      <c r="E84" s="423"/>
    </row>
    <row r="85" spans="1:5" ht="15.75" thickBot="1" x14ac:dyDescent="0.3">
      <c r="A85" s="127"/>
      <c r="B85" s="409"/>
      <c r="C85" s="410"/>
      <c r="D85" s="391"/>
      <c r="E85" s="423"/>
    </row>
    <row r="86" spans="1:5" ht="30" x14ac:dyDescent="0.25">
      <c r="A86" s="125">
        <v>27</v>
      </c>
      <c r="B86" s="407" t="s">
        <v>873</v>
      </c>
      <c r="C86" s="432" t="s">
        <v>1036</v>
      </c>
      <c r="D86" s="411"/>
      <c r="E86" s="412"/>
    </row>
    <row r="87" spans="1:5" x14ac:dyDescent="0.25">
      <c r="A87" s="126"/>
      <c r="B87" s="408"/>
      <c r="C87" s="433" t="s">
        <v>268</v>
      </c>
      <c r="D87" s="411" t="s">
        <v>250</v>
      </c>
      <c r="E87" s="413" t="s">
        <v>251</v>
      </c>
    </row>
    <row r="88" spans="1:5" x14ac:dyDescent="0.25">
      <c r="A88" s="126"/>
      <c r="B88" s="408"/>
      <c r="C88" s="411"/>
      <c r="D88" s="411"/>
      <c r="E88" s="413"/>
    </row>
    <row r="89" spans="1:5" ht="15.75" thickBot="1" x14ac:dyDescent="0.3">
      <c r="A89" s="127"/>
      <c r="B89" s="409"/>
      <c r="C89" s="391"/>
      <c r="D89" s="411"/>
      <c r="E89" s="129"/>
    </row>
    <row r="90" spans="1:5" ht="30" x14ac:dyDescent="0.25">
      <c r="A90" s="125">
        <v>28</v>
      </c>
      <c r="B90" s="407" t="s">
        <v>873</v>
      </c>
      <c r="C90" s="432" t="s">
        <v>1036</v>
      </c>
      <c r="D90" s="314"/>
      <c r="E90" s="369"/>
    </row>
    <row r="91" spans="1:5" x14ac:dyDescent="0.25">
      <c r="A91" s="126"/>
      <c r="B91" s="408"/>
      <c r="C91" s="411"/>
      <c r="D91" s="423" t="s">
        <v>250</v>
      </c>
      <c r="E91" s="370" t="s">
        <v>251</v>
      </c>
    </row>
    <row r="92" spans="1:5" x14ac:dyDescent="0.25">
      <c r="A92" s="126"/>
      <c r="B92" s="408"/>
      <c r="C92" s="433" t="s">
        <v>268</v>
      </c>
      <c r="D92" s="423"/>
      <c r="E92" s="370"/>
    </row>
    <row r="93" spans="1:5" ht="15.75" thickBot="1" x14ac:dyDescent="0.3">
      <c r="A93" s="127"/>
      <c r="B93" s="409"/>
      <c r="C93" s="391"/>
      <c r="D93" s="102"/>
      <c r="E93" s="92"/>
    </row>
    <row r="94" spans="1:5" ht="30" x14ac:dyDescent="0.25">
      <c r="A94" s="125">
        <v>29</v>
      </c>
      <c r="B94" s="429" t="s">
        <v>873</v>
      </c>
      <c r="C94" s="432" t="s">
        <v>1036</v>
      </c>
      <c r="D94" s="314"/>
      <c r="E94" s="369"/>
    </row>
    <row r="95" spans="1:5" x14ac:dyDescent="0.25">
      <c r="A95" s="126"/>
      <c r="B95" s="430"/>
      <c r="C95" s="433"/>
      <c r="D95" s="428" t="s">
        <v>250</v>
      </c>
      <c r="E95" s="370" t="s">
        <v>251</v>
      </c>
    </row>
    <row r="96" spans="1:5" x14ac:dyDescent="0.25">
      <c r="A96" s="126"/>
      <c r="B96" s="430"/>
      <c r="C96" s="433" t="s">
        <v>268</v>
      </c>
      <c r="D96" s="428"/>
      <c r="E96" s="370"/>
    </row>
    <row r="97" spans="1:5" ht="15.75" thickBot="1" x14ac:dyDescent="0.3">
      <c r="A97" s="127"/>
      <c r="B97" s="431"/>
      <c r="C97" s="391"/>
      <c r="D97" s="102"/>
      <c r="E97" s="92"/>
    </row>
    <row r="99" spans="1:5" ht="15.75" thickBot="1" x14ac:dyDescent="0.3">
      <c r="C99" s="339" t="s">
        <v>1110</v>
      </c>
    </row>
    <row r="100" spans="1:5" x14ac:dyDescent="0.25">
      <c r="A100" s="436" t="s">
        <v>243</v>
      </c>
      <c r="B100" s="436" t="s">
        <v>244</v>
      </c>
      <c r="C100" s="436" t="s">
        <v>245</v>
      </c>
      <c r="D100" s="436" t="s">
        <v>246</v>
      </c>
      <c r="E100" s="789" t="s">
        <v>247</v>
      </c>
    </row>
    <row r="101" spans="1:5" ht="15.75" thickBot="1" x14ac:dyDescent="0.3">
      <c r="A101" s="437"/>
      <c r="B101" s="437"/>
      <c r="C101" s="447"/>
      <c r="D101" s="437"/>
      <c r="E101" s="790"/>
    </row>
    <row r="102" spans="1:5" ht="30.75" thickBot="1" x14ac:dyDescent="0.3">
      <c r="A102" s="112">
        <v>10</v>
      </c>
      <c r="B102" s="443" t="s">
        <v>873</v>
      </c>
      <c r="C102" s="448" t="s">
        <v>1123</v>
      </c>
      <c r="E102" s="791" t="s">
        <v>251</v>
      </c>
    </row>
    <row r="103" spans="1:5" ht="15.75" thickBot="1" x14ac:dyDescent="0.3">
      <c r="A103" s="447"/>
      <c r="B103" s="444"/>
      <c r="C103" s="448" t="s">
        <v>1124</v>
      </c>
      <c r="D103" t="s">
        <v>853</v>
      </c>
      <c r="E103" s="792"/>
    </row>
    <row r="104" spans="1:5" ht="15.75" thickBot="1" x14ac:dyDescent="0.3">
      <c r="A104" s="447"/>
      <c r="B104" s="444"/>
      <c r="C104" s="153" t="s">
        <v>1128</v>
      </c>
      <c r="E104" s="792"/>
    </row>
    <row r="105" spans="1:5" ht="15.75" thickBot="1" x14ac:dyDescent="0.3">
      <c r="A105" s="437"/>
      <c r="B105" s="445"/>
      <c r="C105" s="133" t="s">
        <v>1129</v>
      </c>
      <c r="E105" s="792"/>
    </row>
    <row r="106" spans="1:5" ht="30.75" thickBot="1" x14ac:dyDescent="0.3">
      <c r="A106" s="112">
        <v>11</v>
      </c>
      <c r="B106" s="443" t="s">
        <v>873</v>
      </c>
      <c r="C106" s="474" t="s">
        <v>1111</v>
      </c>
      <c r="D106" s="134"/>
      <c r="E106" s="434"/>
    </row>
    <row r="107" spans="1:5" ht="15.75" thickBot="1" x14ac:dyDescent="0.3">
      <c r="A107" s="447"/>
      <c r="B107" s="444"/>
      <c r="C107" s="474" t="s">
        <v>1112</v>
      </c>
      <c r="D107" s="132" t="s">
        <v>250</v>
      </c>
      <c r="E107" s="435"/>
    </row>
    <row r="108" spans="1:5" ht="15.75" thickBot="1" x14ac:dyDescent="0.3">
      <c r="A108" s="447"/>
      <c r="B108" s="444"/>
      <c r="C108" t="s">
        <v>1114</v>
      </c>
      <c r="D108" s="132"/>
      <c r="E108" s="435"/>
    </row>
    <row r="109" spans="1:5" ht="15.75" thickBot="1" x14ac:dyDescent="0.3">
      <c r="A109" s="437"/>
      <c r="B109" s="445"/>
      <c r="C109" s="474" t="s">
        <v>1116</v>
      </c>
      <c r="D109" s="135"/>
      <c r="E109" s="102" t="s">
        <v>251</v>
      </c>
    </row>
    <row r="110" spans="1:5" ht="30.75" thickBot="1" x14ac:dyDescent="0.3">
      <c r="A110" s="125">
        <v>17</v>
      </c>
      <c r="B110" s="446" t="s">
        <v>873</v>
      </c>
      <c r="C110" s="122" t="s">
        <v>1111</v>
      </c>
      <c r="D110" s="134"/>
      <c r="E110" s="370"/>
    </row>
    <row r="111" spans="1:5" ht="15.75" thickBot="1" x14ac:dyDescent="0.3">
      <c r="A111" s="126"/>
      <c r="B111" s="439"/>
      <c r="C111" s="122" t="s">
        <v>1113</v>
      </c>
      <c r="D111" s="108" t="s">
        <v>250</v>
      </c>
      <c r="E111" s="370"/>
    </row>
    <row r="112" spans="1:5" ht="15.75" thickBot="1" x14ac:dyDescent="0.3">
      <c r="A112" s="126"/>
      <c r="B112" s="439"/>
      <c r="C112" t="s">
        <v>1114</v>
      </c>
      <c r="D112" s="132"/>
      <c r="E112" s="473" t="s">
        <v>251</v>
      </c>
    </row>
    <row r="113" spans="1:5" ht="15.75" thickBot="1" x14ac:dyDescent="0.3">
      <c r="A113" s="126"/>
      <c r="B113" s="439"/>
      <c r="C113" s="122" t="s">
        <v>1116</v>
      </c>
      <c r="D113" s="135"/>
      <c r="E113" s="370"/>
    </row>
    <row r="114" spans="1:5" ht="15.75" thickBot="1" x14ac:dyDescent="0.3">
      <c r="A114" s="127"/>
      <c r="B114" s="440"/>
      <c r="D114" s="108"/>
      <c r="E114" s="92"/>
    </row>
    <row r="115" spans="1:5" ht="30.75" thickBot="1" x14ac:dyDescent="0.3">
      <c r="A115" s="112">
        <v>18</v>
      </c>
      <c r="B115" s="446" t="s">
        <v>873</v>
      </c>
      <c r="C115" s="122" t="s">
        <v>1111</v>
      </c>
      <c r="D115" s="108" t="s">
        <v>250</v>
      </c>
      <c r="E115" s="370"/>
    </row>
    <row r="116" spans="1:5" ht="15.75" thickBot="1" x14ac:dyDescent="0.3">
      <c r="A116" s="447"/>
      <c r="B116" s="439"/>
      <c r="C116" s="122" t="s">
        <v>1115</v>
      </c>
      <c r="D116" s="108"/>
      <c r="E116" s="370" t="s">
        <v>251</v>
      </c>
    </row>
    <row r="117" spans="1:5" ht="15.75" thickBot="1" x14ac:dyDescent="0.3">
      <c r="A117" s="437"/>
      <c r="B117" s="439"/>
      <c r="C117" s="122" t="s">
        <v>1117</v>
      </c>
      <c r="D117" s="108" t="s">
        <v>853</v>
      </c>
      <c r="E117" s="370"/>
    </row>
    <row r="118" spans="1:5" ht="30.75" thickBot="1" x14ac:dyDescent="0.3">
      <c r="A118" s="112">
        <v>24</v>
      </c>
      <c r="B118" s="438" t="s">
        <v>873</v>
      </c>
      <c r="C118" s="122" t="s">
        <v>1122</v>
      </c>
      <c r="D118" s="109" t="s">
        <v>250</v>
      </c>
      <c r="E118" s="793" t="s">
        <v>251</v>
      </c>
    </row>
    <row r="119" spans="1:5" ht="15.75" thickBot="1" x14ac:dyDescent="0.3">
      <c r="A119" s="447"/>
      <c r="B119" s="439"/>
      <c r="C119" s="122" t="s">
        <v>1118</v>
      </c>
      <c r="D119" s="107" t="s">
        <v>853</v>
      </c>
      <c r="E119" s="794"/>
    </row>
    <row r="120" spans="1:5" ht="15.75" thickBot="1" x14ac:dyDescent="0.3">
      <c r="A120" s="447"/>
      <c r="B120" s="439"/>
      <c r="C120" s="122" t="s">
        <v>1120</v>
      </c>
      <c r="D120" s="108" t="s">
        <v>250</v>
      </c>
      <c r="E120" s="794"/>
    </row>
    <row r="121" spans="1:5" ht="15.75" thickBot="1" x14ac:dyDescent="0.3">
      <c r="A121" s="437"/>
      <c r="B121" s="440"/>
      <c r="C121" s="122"/>
      <c r="D121" s="313"/>
      <c r="E121" s="795"/>
    </row>
    <row r="122" spans="1:5" ht="30.75" thickBot="1" x14ac:dyDescent="0.3">
      <c r="A122" s="112">
        <v>25</v>
      </c>
      <c r="B122" s="438" t="s">
        <v>873</v>
      </c>
      <c r="C122" s="448" t="s">
        <v>1121</v>
      </c>
      <c r="D122" s="471" t="s">
        <v>853</v>
      </c>
      <c r="E122" s="370"/>
    </row>
    <row r="123" spans="1:5" ht="15.75" thickBot="1" x14ac:dyDescent="0.3">
      <c r="A123" s="447"/>
      <c r="B123" s="439"/>
      <c r="C123" s="448" t="s">
        <v>1127</v>
      </c>
      <c r="D123" s="441" t="s">
        <v>250</v>
      </c>
      <c r="E123" s="370" t="s">
        <v>251</v>
      </c>
    </row>
    <row r="124" spans="1:5" ht="15.75" thickBot="1" x14ac:dyDescent="0.3">
      <c r="A124" s="447"/>
      <c r="B124" s="439"/>
      <c r="C124" s="122"/>
      <c r="D124" s="441"/>
      <c r="E124" s="370"/>
    </row>
    <row r="125" spans="1:5" ht="15.75" thickBot="1" x14ac:dyDescent="0.3">
      <c r="A125" s="437"/>
      <c r="B125" s="440"/>
      <c r="C125" s="153"/>
      <c r="D125" s="442"/>
      <c r="E125" s="92"/>
    </row>
    <row r="126" spans="1:5" ht="30.75" thickBot="1" x14ac:dyDescent="0.3">
      <c r="A126" s="112">
        <v>26</v>
      </c>
      <c r="B126" s="438" t="s">
        <v>873</v>
      </c>
      <c r="C126" s="448" t="s">
        <v>1125</v>
      </c>
      <c r="D126" s="471" t="s">
        <v>853</v>
      </c>
      <c r="E126" s="370"/>
    </row>
    <row r="127" spans="1:5" ht="15.75" thickBot="1" x14ac:dyDescent="0.3">
      <c r="A127" s="447"/>
      <c r="B127" s="439"/>
      <c r="C127" s="448" t="s">
        <v>1126</v>
      </c>
      <c r="D127" s="472" t="s">
        <v>250</v>
      </c>
      <c r="E127" s="370" t="s">
        <v>251</v>
      </c>
    </row>
    <row r="128" spans="1:5" ht="15.75" thickBot="1" x14ac:dyDescent="0.3">
      <c r="A128" s="447"/>
      <c r="B128" s="439"/>
      <c r="C128" s="470"/>
      <c r="D128" s="441"/>
      <c r="E128" s="370"/>
    </row>
    <row r="129" spans="1:5" ht="15.75" thickBot="1" x14ac:dyDescent="0.3">
      <c r="A129" s="480"/>
      <c r="B129" s="481"/>
      <c r="C129" s="122"/>
      <c r="D129" s="482"/>
      <c r="E129" s="483"/>
    </row>
    <row r="130" spans="1:5" x14ac:dyDescent="0.25">
      <c r="A130" s="475"/>
      <c r="B130" s="476"/>
      <c r="C130" s="477"/>
      <c r="D130" s="478"/>
      <c r="E130" s="479"/>
    </row>
    <row r="131" spans="1:5" ht="15.75" thickBot="1" x14ac:dyDescent="0.3">
      <c r="A131" s="475"/>
      <c r="D131" s="339" t="s">
        <v>1130</v>
      </c>
    </row>
    <row r="132" spans="1:5" x14ac:dyDescent="0.25">
      <c r="A132" s="484" t="s">
        <v>243</v>
      </c>
      <c r="B132" s="484" t="s">
        <v>244</v>
      </c>
      <c r="C132" s="484" t="s">
        <v>245</v>
      </c>
      <c r="D132" s="484" t="s">
        <v>246</v>
      </c>
      <c r="E132" s="789" t="s">
        <v>247</v>
      </c>
    </row>
    <row r="133" spans="1:5" ht="15.75" thickBot="1" x14ac:dyDescent="0.3">
      <c r="A133" s="485"/>
      <c r="B133" s="485"/>
      <c r="C133" s="498"/>
      <c r="D133" s="485"/>
      <c r="E133" s="790"/>
    </row>
    <row r="134" spans="1:5" ht="30.75" thickBot="1" x14ac:dyDescent="0.3">
      <c r="A134" s="112">
        <v>15</v>
      </c>
      <c r="B134" s="494" t="s">
        <v>873</v>
      </c>
      <c r="C134" s="448" t="s">
        <v>196</v>
      </c>
      <c r="E134" s="791" t="s">
        <v>251</v>
      </c>
    </row>
    <row r="135" spans="1:5" ht="15.75" thickBot="1" x14ac:dyDescent="0.3">
      <c r="A135" s="498"/>
      <c r="B135" s="495"/>
      <c r="C135" s="448" t="s">
        <v>197</v>
      </c>
      <c r="D135" t="s">
        <v>250</v>
      </c>
      <c r="E135" s="792"/>
    </row>
    <row r="136" spans="1:5" ht="15.75" thickBot="1" x14ac:dyDescent="0.3">
      <c r="A136" s="498"/>
      <c r="B136" s="495"/>
      <c r="C136" s="448"/>
      <c r="E136" s="792"/>
    </row>
    <row r="137" spans="1:5" ht="15.75" thickBot="1" x14ac:dyDescent="0.3">
      <c r="A137" s="485"/>
      <c r="B137" s="496"/>
      <c r="C137" s="448"/>
      <c r="E137" s="792"/>
    </row>
    <row r="138" spans="1:5" ht="30.75" thickBot="1" x14ac:dyDescent="0.3">
      <c r="A138" s="112">
        <v>16</v>
      </c>
      <c r="B138" s="494" t="s">
        <v>873</v>
      </c>
      <c r="C138" s="448" t="s">
        <v>198</v>
      </c>
      <c r="D138" s="134"/>
      <c r="E138" s="486"/>
    </row>
    <row r="139" spans="1:5" ht="15.75" thickBot="1" x14ac:dyDescent="0.3">
      <c r="A139" s="498"/>
      <c r="B139" s="495"/>
      <c r="C139" s="448" t="s">
        <v>199</v>
      </c>
      <c r="D139" s="132" t="s">
        <v>250</v>
      </c>
      <c r="E139" s="487"/>
    </row>
    <row r="140" spans="1:5" ht="15.75" thickBot="1" x14ac:dyDescent="0.3">
      <c r="A140" s="498"/>
      <c r="B140" s="495"/>
      <c r="D140" s="132"/>
      <c r="E140" s="487"/>
    </row>
    <row r="141" spans="1:5" ht="15.75" thickBot="1" x14ac:dyDescent="0.3">
      <c r="A141" s="485"/>
      <c r="B141" s="496"/>
      <c r="C141" s="474"/>
      <c r="D141" s="135"/>
      <c r="E141" s="102" t="s">
        <v>251</v>
      </c>
    </row>
    <row r="142" spans="1:5" ht="30.75" thickBot="1" x14ac:dyDescent="0.3">
      <c r="A142" s="125">
        <v>17</v>
      </c>
      <c r="B142" s="497" t="s">
        <v>873</v>
      </c>
      <c r="C142" s="448" t="s">
        <v>1126</v>
      </c>
      <c r="D142" s="134"/>
      <c r="E142" s="370"/>
    </row>
    <row r="143" spans="1:5" ht="15.75" thickBot="1" x14ac:dyDescent="0.3">
      <c r="A143" s="126"/>
      <c r="B143" s="489"/>
      <c r="C143" s="448" t="s">
        <v>1126</v>
      </c>
      <c r="D143" s="108" t="s">
        <v>250</v>
      </c>
      <c r="E143" s="370"/>
    </row>
    <row r="144" spans="1:5" ht="15.75" thickBot="1" x14ac:dyDescent="0.3">
      <c r="A144" s="126"/>
      <c r="B144" s="489"/>
      <c r="C144" s="508" t="s">
        <v>1131</v>
      </c>
      <c r="D144" s="132"/>
      <c r="E144" s="473" t="s">
        <v>251</v>
      </c>
    </row>
    <row r="145" spans="1:5" ht="15.75" thickBot="1" x14ac:dyDescent="0.3">
      <c r="A145" s="126"/>
      <c r="B145" s="489"/>
      <c r="C145" s="448"/>
      <c r="D145" s="135"/>
      <c r="E145" s="370"/>
    </row>
    <row r="146" spans="1:5" ht="15.75" thickBot="1" x14ac:dyDescent="0.3">
      <c r="A146" s="127"/>
      <c r="B146" s="490"/>
      <c r="C146" s="515"/>
      <c r="D146" s="108"/>
      <c r="E146" s="92"/>
    </row>
    <row r="147" spans="1:5" ht="30.75" thickBot="1" x14ac:dyDescent="0.3">
      <c r="A147" s="112">
        <v>22</v>
      </c>
      <c r="B147" s="497" t="s">
        <v>873</v>
      </c>
      <c r="C147" s="448" t="s">
        <v>1132</v>
      </c>
      <c r="D147" s="108" t="s">
        <v>250</v>
      </c>
      <c r="E147" s="370"/>
    </row>
    <row r="148" spans="1:5" ht="15.75" thickBot="1" x14ac:dyDescent="0.3">
      <c r="A148" s="498"/>
      <c r="B148" s="489"/>
      <c r="C148" s="448" t="s">
        <v>1134</v>
      </c>
      <c r="D148" s="108"/>
      <c r="E148" s="370" t="s">
        <v>251</v>
      </c>
    </row>
    <row r="149" spans="1:5" ht="15.75" thickBot="1" x14ac:dyDescent="0.3">
      <c r="A149" s="485"/>
      <c r="B149" s="489"/>
      <c r="C149" s="448"/>
      <c r="D149" s="108" t="s">
        <v>250</v>
      </c>
      <c r="E149" s="370"/>
    </row>
    <row r="150" spans="1:5" ht="30.75" thickBot="1" x14ac:dyDescent="0.3">
      <c r="A150" s="112">
        <v>23</v>
      </c>
      <c r="B150" s="488" t="s">
        <v>873</v>
      </c>
      <c r="C150" s="448"/>
      <c r="D150" s="109" t="s">
        <v>250</v>
      </c>
      <c r="E150" s="793" t="s">
        <v>251</v>
      </c>
    </row>
    <row r="151" spans="1:5" ht="15.75" thickBot="1" x14ac:dyDescent="0.3">
      <c r="A151" s="498"/>
      <c r="B151" s="489"/>
      <c r="C151" s="448" t="s">
        <v>1133</v>
      </c>
      <c r="D151" s="107" t="s">
        <v>250</v>
      </c>
      <c r="E151" s="794"/>
    </row>
    <row r="152" spans="1:5" ht="15.75" thickBot="1" x14ac:dyDescent="0.3">
      <c r="A152" s="498"/>
      <c r="B152" s="489"/>
      <c r="C152" s="448" t="s">
        <v>1135</v>
      </c>
      <c r="D152" s="108" t="s">
        <v>250</v>
      </c>
      <c r="E152" s="794"/>
    </row>
    <row r="153" spans="1:5" ht="15.75" thickBot="1" x14ac:dyDescent="0.3">
      <c r="A153" s="485"/>
      <c r="B153" s="490"/>
      <c r="C153" s="448"/>
      <c r="D153" s="313"/>
      <c r="E153" s="795"/>
    </row>
    <row r="154" spans="1:5" ht="30.75" thickBot="1" x14ac:dyDescent="0.3">
      <c r="A154" s="112">
        <v>29</v>
      </c>
      <c r="B154" s="488" t="s">
        <v>873</v>
      </c>
      <c r="C154" s="448" t="s">
        <v>1136</v>
      </c>
      <c r="D154" s="491" t="s">
        <v>853</v>
      </c>
      <c r="E154" s="370"/>
    </row>
    <row r="155" spans="1:5" ht="15.75" thickBot="1" x14ac:dyDescent="0.3">
      <c r="A155" s="498"/>
      <c r="B155" s="489"/>
      <c r="C155" s="448" t="s">
        <v>1137</v>
      </c>
      <c r="D155" s="513" t="s">
        <v>853</v>
      </c>
      <c r="E155" s="370" t="s">
        <v>251</v>
      </c>
    </row>
    <row r="156" spans="1:5" ht="15.75" thickBot="1" x14ac:dyDescent="0.3">
      <c r="A156" s="498"/>
      <c r="B156" s="489"/>
      <c r="C156" s="122"/>
      <c r="D156" s="492"/>
      <c r="E156" s="370"/>
    </row>
    <row r="157" spans="1:5" ht="15.75" thickBot="1" x14ac:dyDescent="0.3">
      <c r="A157" s="485"/>
      <c r="B157" s="490"/>
      <c r="C157" s="153"/>
      <c r="D157" s="493"/>
      <c r="E157" s="92"/>
    </row>
    <row r="158" spans="1:5" ht="30.75" thickBot="1" x14ac:dyDescent="0.3">
      <c r="A158" s="112">
        <v>30</v>
      </c>
      <c r="B158" s="488" t="s">
        <v>873</v>
      </c>
      <c r="C158" s="448" t="s">
        <v>1150</v>
      </c>
      <c r="D158" s="512" t="s">
        <v>250</v>
      </c>
      <c r="E158" s="370"/>
    </row>
    <row r="159" spans="1:5" ht="15.75" thickBot="1" x14ac:dyDescent="0.3">
      <c r="A159" s="498"/>
      <c r="B159" s="489"/>
      <c r="C159" s="448" t="s">
        <v>1160</v>
      </c>
      <c r="D159" s="492" t="s">
        <v>250</v>
      </c>
      <c r="E159" s="370" t="s">
        <v>251</v>
      </c>
    </row>
    <row r="160" spans="1:5" ht="15.75" thickBot="1" x14ac:dyDescent="0.3">
      <c r="A160" s="498"/>
      <c r="B160" s="489"/>
      <c r="C160" s="314" t="s">
        <v>1138</v>
      </c>
      <c r="D160" s="492"/>
      <c r="E160" s="370"/>
    </row>
    <row r="161" spans="1:6" ht="15.75" thickBot="1" x14ac:dyDescent="0.3">
      <c r="B161" s="506"/>
      <c r="C161" s="481" t="s">
        <v>1139</v>
      </c>
      <c r="D161" s="122"/>
      <c r="E161" s="516"/>
      <c r="F161" s="517"/>
    </row>
    <row r="162" spans="1:6" ht="30.75" thickBot="1" x14ac:dyDescent="0.3">
      <c r="A162" s="112">
        <v>31</v>
      </c>
      <c r="B162" s="509" t="s">
        <v>873</v>
      </c>
      <c r="C162" s="481" t="s">
        <v>1140</v>
      </c>
      <c r="D162" s="521" t="s">
        <v>250</v>
      </c>
      <c r="E162" s="370"/>
    </row>
    <row r="163" spans="1:6" ht="15.75" thickBot="1" x14ac:dyDescent="0.3">
      <c r="A163" s="501"/>
      <c r="B163" s="506"/>
      <c r="C163" s="481" t="s">
        <v>1141</v>
      </c>
      <c r="D163" s="513" t="s">
        <v>250</v>
      </c>
      <c r="E163" s="370" t="s">
        <v>251</v>
      </c>
    </row>
    <row r="164" spans="1:6" ht="15.75" thickBot="1" x14ac:dyDescent="0.3">
      <c r="A164" s="501"/>
      <c r="B164" s="506"/>
      <c r="C164" s="481" t="s">
        <v>1142</v>
      </c>
      <c r="D164" s="513"/>
      <c r="E164" s="370"/>
    </row>
    <row r="165" spans="1:6" ht="15.75" thickBot="1" x14ac:dyDescent="0.3">
      <c r="B165" s="480"/>
      <c r="C165" s="481"/>
      <c r="D165" s="122"/>
      <c r="E165" s="482"/>
    </row>
    <row r="167" spans="1:6" ht="15.75" thickBot="1" x14ac:dyDescent="0.3">
      <c r="A167" s="475"/>
      <c r="D167" s="520">
        <v>42005</v>
      </c>
    </row>
    <row r="168" spans="1:6" x14ac:dyDescent="0.25">
      <c r="A168" s="499" t="s">
        <v>243</v>
      </c>
      <c r="B168" s="499" t="s">
        <v>244</v>
      </c>
      <c r="C168" s="499" t="s">
        <v>245</v>
      </c>
      <c r="D168" s="499" t="s">
        <v>246</v>
      </c>
      <c r="E168" s="789" t="s">
        <v>247</v>
      </c>
    </row>
    <row r="169" spans="1:6" ht="15.75" thickBot="1" x14ac:dyDescent="0.3">
      <c r="A169" s="500"/>
      <c r="B169" s="500"/>
      <c r="C169" s="501"/>
      <c r="D169" s="500"/>
      <c r="E169" s="790"/>
    </row>
    <row r="170" spans="1:6" ht="30.75" thickBot="1" x14ac:dyDescent="0.3">
      <c r="A170" s="112">
        <v>5</v>
      </c>
      <c r="B170" s="502" t="s">
        <v>873</v>
      </c>
      <c r="C170" s="481" t="s">
        <v>1143</v>
      </c>
      <c r="E170" s="791" t="s">
        <v>251</v>
      </c>
    </row>
    <row r="171" spans="1:6" ht="15.75" thickBot="1" x14ac:dyDescent="0.3">
      <c r="A171" s="501"/>
      <c r="B171" s="503"/>
      <c r="C171" s="481" t="s">
        <v>1144</v>
      </c>
      <c r="D171" t="s">
        <v>250</v>
      </c>
      <c r="E171" s="792"/>
    </row>
    <row r="172" spans="1:6" ht="15.75" thickBot="1" x14ac:dyDescent="0.3">
      <c r="A172" s="501"/>
      <c r="B172" s="503"/>
      <c r="C172" s="481" t="s">
        <v>1145</v>
      </c>
      <c r="E172" s="792"/>
    </row>
    <row r="173" spans="1:6" ht="15.75" thickBot="1" x14ac:dyDescent="0.3">
      <c r="A173" s="500"/>
      <c r="B173" s="504"/>
      <c r="C173" s="481"/>
      <c r="E173" s="792"/>
    </row>
    <row r="174" spans="1:6" ht="30.75" thickBot="1" x14ac:dyDescent="0.3">
      <c r="A174" s="112">
        <v>6</v>
      </c>
      <c r="B174" s="502" t="s">
        <v>873</v>
      </c>
      <c r="C174" s="481" t="s">
        <v>1146</v>
      </c>
      <c r="D174" s="134"/>
      <c r="E174" s="510"/>
    </row>
    <row r="175" spans="1:6" ht="15.75" thickBot="1" x14ac:dyDescent="0.3">
      <c r="A175" s="501"/>
      <c r="B175" s="503"/>
      <c r="C175" s="481" t="s">
        <v>1147</v>
      </c>
      <c r="D175" s="132" t="s">
        <v>250</v>
      </c>
      <c r="E175" s="511"/>
    </row>
    <row r="176" spans="1:6" ht="15.75" thickBot="1" x14ac:dyDescent="0.3">
      <c r="A176" s="501"/>
      <c r="B176" s="503"/>
      <c r="C176" s="481" t="s">
        <v>1148</v>
      </c>
      <c r="D176" s="132"/>
      <c r="E176" s="511"/>
    </row>
    <row r="177" spans="1:5" ht="15.75" thickBot="1" x14ac:dyDescent="0.3">
      <c r="A177" s="500"/>
      <c r="B177" s="504"/>
      <c r="C177" s="474"/>
      <c r="D177" s="135"/>
      <c r="E177" s="102" t="s">
        <v>251</v>
      </c>
    </row>
    <row r="178" spans="1:5" ht="30.75" thickBot="1" x14ac:dyDescent="0.3">
      <c r="A178" s="125">
        <v>12</v>
      </c>
      <c r="B178" s="505" t="s">
        <v>873</v>
      </c>
      <c r="C178" s="481" t="s">
        <v>1149</v>
      </c>
      <c r="D178" s="134"/>
      <c r="E178" s="370"/>
    </row>
    <row r="179" spans="1:5" ht="15.75" thickBot="1" x14ac:dyDescent="0.3">
      <c r="A179" s="126"/>
      <c r="B179" s="506"/>
      <c r="C179" s="448" t="s">
        <v>1151</v>
      </c>
      <c r="D179" s="108" t="s">
        <v>250</v>
      </c>
      <c r="E179" s="370"/>
    </row>
    <row r="180" spans="1:5" ht="15.75" thickBot="1" x14ac:dyDescent="0.3">
      <c r="A180" s="126"/>
      <c r="B180" s="506"/>
      <c r="C180" s="508" t="s">
        <v>1152</v>
      </c>
      <c r="D180" s="132"/>
      <c r="E180" s="473" t="s">
        <v>251</v>
      </c>
    </row>
    <row r="181" spans="1:5" ht="15.75" thickBot="1" x14ac:dyDescent="0.3">
      <c r="A181" s="126"/>
      <c r="B181" s="506"/>
      <c r="C181" s="448"/>
      <c r="D181" s="135"/>
      <c r="E181" s="370"/>
    </row>
    <row r="182" spans="1:5" ht="15.75" thickBot="1" x14ac:dyDescent="0.3">
      <c r="A182" s="127"/>
      <c r="B182" s="507"/>
      <c r="C182" s="515"/>
      <c r="D182" s="108"/>
      <c r="E182" s="92"/>
    </row>
    <row r="183" spans="1:5" ht="30.75" thickBot="1" x14ac:dyDescent="0.3">
      <c r="A183" s="112">
        <v>13</v>
      </c>
      <c r="B183" s="505" t="s">
        <v>873</v>
      </c>
      <c r="C183" s="448" t="s">
        <v>1153</v>
      </c>
      <c r="D183" s="108" t="s">
        <v>250</v>
      </c>
      <c r="E183" s="370"/>
    </row>
    <row r="184" spans="1:5" ht="15.75" thickBot="1" x14ac:dyDescent="0.3">
      <c r="A184" s="501"/>
      <c r="B184" s="506"/>
      <c r="C184" s="448" t="s">
        <v>1154</v>
      </c>
      <c r="D184" s="108"/>
      <c r="E184" s="370" t="s">
        <v>251</v>
      </c>
    </row>
    <row r="185" spans="1:5" ht="15.75" thickBot="1" x14ac:dyDescent="0.3">
      <c r="A185" s="500"/>
      <c r="B185" s="506"/>
      <c r="C185" s="448"/>
      <c r="D185" s="108" t="s">
        <v>250</v>
      </c>
      <c r="E185" s="370"/>
    </row>
    <row r="186" spans="1:5" ht="30.75" thickBot="1" x14ac:dyDescent="0.3">
      <c r="A186" s="112">
        <v>19</v>
      </c>
      <c r="B186" s="509" t="s">
        <v>873</v>
      </c>
      <c r="C186" s="448" t="s">
        <v>1155</v>
      </c>
      <c r="D186" s="109" t="s">
        <v>250</v>
      </c>
      <c r="E186" s="793" t="s">
        <v>251</v>
      </c>
    </row>
    <row r="187" spans="1:5" ht="15.75" thickBot="1" x14ac:dyDescent="0.3">
      <c r="A187" s="501"/>
      <c r="B187" s="506"/>
      <c r="C187" s="448" t="s">
        <v>1156</v>
      </c>
      <c r="D187" s="107" t="s">
        <v>250</v>
      </c>
      <c r="E187" s="794"/>
    </row>
    <row r="188" spans="1:5" ht="15.75" thickBot="1" x14ac:dyDescent="0.3">
      <c r="A188" s="501"/>
      <c r="B188" s="506"/>
      <c r="C188" s="448"/>
      <c r="D188" s="108" t="s">
        <v>250</v>
      </c>
      <c r="E188" s="794"/>
    </row>
    <row r="189" spans="1:5" ht="15.75" thickBot="1" x14ac:dyDescent="0.3">
      <c r="A189" s="500"/>
      <c r="B189" s="507"/>
      <c r="C189" s="448"/>
      <c r="D189" s="313"/>
      <c r="E189" s="795"/>
    </row>
    <row r="190" spans="1:5" ht="30.75" thickBot="1" x14ac:dyDescent="0.3">
      <c r="A190" s="112">
        <v>20</v>
      </c>
      <c r="B190" s="509" t="s">
        <v>873</v>
      </c>
      <c r="C190" s="448" t="s">
        <v>1157</v>
      </c>
      <c r="D190" s="512" t="s">
        <v>853</v>
      </c>
      <c r="E190" s="370"/>
    </row>
    <row r="191" spans="1:5" ht="15.75" thickBot="1" x14ac:dyDescent="0.3">
      <c r="A191" s="501"/>
      <c r="B191" s="506"/>
      <c r="C191" s="448" t="s">
        <v>1158</v>
      </c>
      <c r="D191" s="513" t="s">
        <v>250</v>
      </c>
      <c r="E191" s="370" t="s">
        <v>251</v>
      </c>
    </row>
    <row r="192" spans="1:5" ht="15.75" thickBot="1" x14ac:dyDescent="0.3">
      <c r="A192" s="501"/>
      <c r="B192" s="506"/>
      <c r="C192" s="448" t="s">
        <v>1159</v>
      </c>
      <c r="D192" s="513"/>
      <c r="E192" s="370"/>
    </row>
    <row r="193" spans="1:5" ht="15.75" thickBot="1" x14ac:dyDescent="0.3">
      <c r="A193" s="500"/>
      <c r="B193" s="507"/>
      <c r="C193" s="315"/>
      <c r="D193" s="514"/>
      <c r="E193" s="92"/>
    </row>
    <row r="194" spans="1:5" ht="30.75" thickBot="1" x14ac:dyDescent="0.3">
      <c r="A194" s="112">
        <v>26</v>
      </c>
      <c r="B194" s="509" t="s">
        <v>873</v>
      </c>
      <c r="C194" s="448" t="s">
        <v>1161</v>
      </c>
      <c r="D194" s="512" t="s">
        <v>250</v>
      </c>
      <c r="E194" s="370"/>
    </row>
    <row r="195" spans="1:5" ht="15.75" thickBot="1" x14ac:dyDescent="0.3">
      <c r="A195" s="501"/>
      <c r="B195" s="506"/>
      <c r="C195" s="448" t="s">
        <v>1162</v>
      </c>
      <c r="D195" s="513" t="s">
        <v>250</v>
      </c>
      <c r="E195" s="370" t="s">
        <v>251</v>
      </c>
    </row>
    <row r="196" spans="1:5" ht="15.75" thickBot="1" x14ac:dyDescent="0.3">
      <c r="A196" s="501"/>
      <c r="B196" s="506"/>
      <c r="C196" s="448" t="s">
        <v>1163</v>
      </c>
      <c r="D196" s="513"/>
      <c r="E196" s="370"/>
    </row>
    <row r="197" spans="1:5" ht="15.75" thickBot="1" x14ac:dyDescent="0.3">
      <c r="B197" s="506"/>
      <c r="C197" s="481"/>
      <c r="D197" s="122"/>
      <c r="E197" s="516"/>
    </row>
    <row r="198" spans="1:5" ht="30.75" thickBot="1" x14ac:dyDescent="0.3">
      <c r="A198" s="112">
        <v>27</v>
      </c>
      <c r="B198" s="509" t="s">
        <v>873</v>
      </c>
      <c r="C198" s="448" t="s">
        <v>1164</v>
      </c>
      <c r="D198" s="512" t="s">
        <v>250</v>
      </c>
      <c r="E198" s="370"/>
    </row>
    <row r="199" spans="1:5" ht="15.75" thickBot="1" x14ac:dyDescent="0.3">
      <c r="A199" s="501"/>
      <c r="B199" s="506"/>
      <c r="C199" s="448" t="s">
        <v>1165</v>
      </c>
      <c r="D199" s="513" t="s">
        <v>250</v>
      </c>
      <c r="E199" s="370" t="s">
        <v>251</v>
      </c>
    </row>
    <row r="200" spans="1:5" ht="15.75" thickBot="1" x14ac:dyDescent="0.3">
      <c r="A200" s="501"/>
      <c r="B200" s="506"/>
      <c r="C200" s="448" t="s">
        <v>1166</v>
      </c>
      <c r="D200" s="513"/>
      <c r="E200" s="370"/>
    </row>
    <row r="201" spans="1:5" ht="15.75" thickBot="1" x14ac:dyDescent="0.3">
      <c r="B201" s="480"/>
      <c r="C201" s="481"/>
      <c r="D201" s="122"/>
      <c r="E201" s="482"/>
    </row>
    <row r="202" spans="1:5" ht="30.75" thickBot="1" x14ac:dyDescent="0.3">
      <c r="A202" s="112">
        <v>28</v>
      </c>
      <c r="B202" s="505" t="s">
        <v>873</v>
      </c>
      <c r="C202" s="448" t="s">
        <v>1167</v>
      </c>
      <c r="D202" s="518" t="s">
        <v>250</v>
      </c>
      <c r="E202" s="369"/>
    </row>
    <row r="203" spans="1:5" ht="15.75" thickBot="1" x14ac:dyDescent="0.3">
      <c r="A203" s="501"/>
      <c r="B203" s="506"/>
      <c r="C203" s="448"/>
      <c r="D203" s="513" t="s">
        <v>250</v>
      </c>
      <c r="E203" s="370" t="s">
        <v>251</v>
      </c>
    </row>
    <row r="204" spans="1:5" ht="15.75" thickBot="1" x14ac:dyDescent="0.3">
      <c r="A204" s="501"/>
      <c r="B204" s="507"/>
      <c r="C204" s="448"/>
      <c r="D204" s="519"/>
      <c r="E204" s="92"/>
    </row>
    <row r="206" spans="1:5" ht="15.75" thickBot="1" x14ac:dyDescent="0.3">
      <c r="A206" s="475"/>
      <c r="D206" s="520" t="s">
        <v>1172</v>
      </c>
    </row>
    <row r="207" spans="1:5" x14ac:dyDescent="0.25">
      <c r="A207" s="522" t="s">
        <v>243</v>
      </c>
      <c r="B207" s="522" t="s">
        <v>244</v>
      </c>
      <c r="C207" s="522" t="s">
        <v>245</v>
      </c>
      <c r="D207" s="522" t="s">
        <v>246</v>
      </c>
      <c r="E207" s="789" t="s">
        <v>247</v>
      </c>
    </row>
    <row r="208" spans="1:5" ht="15.75" thickBot="1" x14ac:dyDescent="0.3">
      <c r="A208" s="523"/>
      <c r="B208" s="523"/>
      <c r="C208" s="533"/>
      <c r="D208" s="523"/>
      <c r="E208" s="790"/>
    </row>
    <row r="209" spans="1:5" ht="30.75" thickBot="1" x14ac:dyDescent="0.3">
      <c r="A209" s="112">
        <v>2</v>
      </c>
      <c r="B209" s="534" t="s">
        <v>873</v>
      </c>
      <c r="C209" s="481" t="s">
        <v>1173</v>
      </c>
      <c r="D209" t="s">
        <v>853</v>
      </c>
      <c r="E209" s="791" t="s">
        <v>251</v>
      </c>
    </row>
    <row r="210" spans="1:5" ht="15.75" thickBot="1" x14ac:dyDescent="0.3">
      <c r="A210" s="533"/>
      <c r="B210" s="535"/>
      <c r="C210" s="481" t="s">
        <v>1174</v>
      </c>
      <c r="D210" t="s">
        <v>853</v>
      </c>
      <c r="E210" s="792"/>
    </row>
    <row r="211" spans="1:5" ht="15.75" thickBot="1" x14ac:dyDescent="0.3">
      <c r="A211" s="533"/>
      <c r="B211" s="535"/>
      <c r="C211" s="481" t="s">
        <v>1177</v>
      </c>
      <c r="D211" t="s">
        <v>250</v>
      </c>
      <c r="E211" s="792"/>
    </row>
    <row r="212" spans="1:5" ht="15.75" thickBot="1" x14ac:dyDescent="0.3">
      <c r="A212" s="523"/>
      <c r="B212" s="536"/>
      <c r="C212" s="481" t="s">
        <v>1188</v>
      </c>
      <c r="E212" s="792"/>
    </row>
    <row r="213" spans="1:5" ht="30.75" thickBot="1" x14ac:dyDescent="0.3">
      <c r="A213" s="112">
        <v>3</v>
      </c>
      <c r="B213" s="534" t="s">
        <v>873</v>
      </c>
      <c r="C213" s="481" t="s">
        <v>1175</v>
      </c>
      <c r="D213" s="134"/>
      <c r="E213" s="525"/>
    </row>
    <row r="214" spans="1:5" ht="15.75" thickBot="1" x14ac:dyDescent="0.3">
      <c r="A214" s="533"/>
      <c r="B214" s="535"/>
      <c r="C214" s="481" t="s">
        <v>1176</v>
      </c>
      <c r="D214" s="132" t="s">
        <v>250</v>
      </c>
      <c r="E214" s="526"/>
    </row>
    <row r="215" spans="1:5" ht="15.75" thickBot="1" x14ac:dyDescent="0.3">
      <c r="A215" s="533"/>
      <c r="B215" s="535"/>
      <c r="C215" s="481" t="s">
        <v>1178</v>
      </c>
      <c r="D215" s="132"/>
      <c r="E215" s="526"/>
    </row>
    <row r="216" spans="1:5" ht="15.75" thickBot="1" x14ac:dyDescent="0.3">
      <c r="A216" s="523"/>
      <c r="B216" s="536"/>
      <c r="C216" s="474"/>
      <c r="D216" s="135"/>
      <c r="E216" s="102" t="s">
        <v>251</v>
      </c>
    </row>
    <row r="217" spans="1:5" ht="30.75" thickBot="1" x14ac:dyDescent="0.3">
      <c r="A217" s="125">
        <v>9</v>
      </c>
      <c r="B217" s="537" t="s">
        <v>873</v>
      </c>
      <c r="C217" s="481" t="s">
        <v>1179</v>
      </c>
      <c r="D217" s="134"/>
      <c r="E217" s="370"/>
    </row>
    <row r="218" spans="1:5" ht="15.75" thickBot="1" x14ac:dyDescent="0.3">
      <c r="A218" s="126"/>
      <c r="B218" s="528"/>
      <c r="C218" s="481" t="s">
        <v>1180</v>
      </c>
      <c r="D218" s="108" t="s">
        <v>250</v>
      </c>
      <c r="E218" s="370"/>
    </row>
    <row r="219" spans="1:5" ht="15.75" thickBot="1" x14ac:dyDescent="0.3">
      <c r="A219" s="126"/>
      <c r="B219" s="528"/>
      <c r="C219" s="524" t="s">
        <v>1182</v>
      </c>
      <c r="D219" s="132" t="s">
        <v>913</v>
      </c>
      <c r="E219" s="473" t="s">
        <v>251</v>
      </c>
    </row>
    <row r="220" spans="1:5" ht="15.75" thickBot="1" x14ac:dyDescent="0.3">
      <c r="A220" s="126"/>
      <c r="B220" s="528"/>
      <c r="C220" s="448"/>
      <c r="D220" s="135"/>
      <c r="E220" s="370"/>
    </row>
    <row r="221" spans="1:5" ht="15.75" thickBot="1" x14ac:dyDescent="0.3">
      <c r="A221" s="127"/>
      <c r="B221" s="529"/>
      <c r="C221" s="538"/>
      <c r="D221" s="108"/>
      <c r="E221" s="92"/>
    </row>
    <row r="222" spans="1:5" ht="30.75" thickBot="1" x14ac:dyDescent="0.3">
      <c r="A222" s="112">
        <v>10</v>
      </c>
      <c r="B222" s="537" t="s">
        <v>873</v>
      </c>
      <c r="C222" s="448" t="s">
        <v>1181</v>
      </c>
      <c r="D222" s="108" t="s">
        <v>853</v>
      </c>
      <c r="E222" s="370"/>
    </row>
    <row r="223" spans="1:5" ht="15.75" thickBot="1" x14ac:dyDescent="0.3">
      <c r="A223" s="533"/>
      <c r="B223" s="528"/>
      <c r="C223" s="448" t="s">
        <v>1184</v>
      </c>
      <c r="D223" s="108" t="s">
        <v>853</v>
      </c>
      <c r="E223" s="370" t="s">
        <v>251</v>
      </c>
    </row>
    <row r="224" spans="1:5" ht="15.75" thickBot="1" x14ac:dyDescent="0.3">
      <c r="A224" s="523"/>
      <c r="B224" s="528"/>
      <c r="C224" s="448" t="s">
        <v>1183</v>
      </c>
      <c r="E224" s="370"/>
    </row>
    <row r="225" spans="1:5" ht="30.75" thickBot="1" x14ac:dyDescent="0.3">
      <c r="A225" s="112">
        <v>16</v>
      </c>
      <c r="B225" s="527" t="s">
        <v>873</v>
      </c>
      <c r="C225" s="448" t="s">
        <v>1185</v>
      </c>
      <c r="D225" s="109" t="s">
        <v>250</v>
      </c>
      <c r="E225" s="793" t="s">
        <v>251</v>
      </c>
    </row>
    <row r="226" spans="1:5" ht="15.75" thickBot="1" x14ac:dyDescent="0.3">
      <c r="A226" s="533"/>
      <c r="B226" s="528"/>
      <c r="C226" s="448" t="s">
        <v>1187</v>
      </c>
      <c r="D226" s="107" t="s">
        <v>250</v>
      </c>
      <c r="E226" s="794"/>
    </row>
    <row r="227" spans="1:5" ht="15.75" thickBot="1" x14ac:dyDescent="0.3">
      <c r="A227" s="533"/>
      <c r="B227" s="528"/>
      <c r="C227" s="448"/>
      <c r="D227" s="108" t="s">
        <v>250</v>
      </c>
      <c r="E227" s="794"/>
    </row>
    <row r="228" spans="1:5" ht="15.75" thickBot="1" x14ac:dyDescent="0.3">
      <c r="A228" s="523"/>
      <c r="B228" s="529"/>
      <c r="C228" s="448"/>
      <c r="D228" s="313"/>
      <c r="E228" s="795"/>
    </row>
    <row r="229" spans="1:5" ht="30.75" thickBot="1" x14ac:dyDescent="0.3">
      <c r="A229" s="112">
        <v>17</v>
      </c>
      <c r="B229" s="527" t="s">
        <v>873</v>
      </c>
      <c r="C229" s="448" t="s">
        <v>1185</v>
      </c>
      <c r="D229" s="530"/>
      <c r="E229" s="370"/>
    </row>
    <row r="230" spans="1:5" ht="15.75" thickBot="1" x14ac:dyDescent="0.3">
      <c r="A230" s="533"/>
      <c r="B230" s="528"/>
      <c r="C230" s="448" t="s">
        <v>1186</v>
      </c>
      <c r="D230" s="531" t="s">
        <v>250</v>
      </c>
      <c r="E230" s="370" t="s">
        <v>251</v>
      </c>
    </row>
    <row r="231" spans="1:5" ht="15.75" thickBot="1" x14ac:dyDescent="0.3">
      <c r="A231" s="533"/>
      <c r="B231" s="528"/>
      <c r="C231" s="448"/>
      <c r="D231" s="531"/>
      <c r="E231" s="370"/>
    </row>
    <row r="232" spans="1:5" ht="15.75" thickBot="1" x14ac:dyDescent="0.3">
      <c r="A232" s="523"/>
      <c r="B232" s="529"/>
      <c r="C232" s="315"/>
      <c r="D232" s="532"/>
      <c r="E232" s="92"/>
    </row>
    <row r="233" spans="1:5" ht="30.75" thickBot="1" x14ac:dyDescent="0.3">
      <c r="A233" s="112">
        <v>23</v>
      </c>
      <c r="B233" s="527" t="s">
        <v>873</v>
      </c>
      <c r="C233" s="448" t="s">
        <v>1189</v>
      </c>
      <c r="D233" s="530" t="s">
        <v>250</v>
      </c>
      <c r="E233" s="370"/>
    </row>
    <row r="234" spans="1:5" ht="15.75" thickBot="1" x14ac:dyDescent="0.3">
      <c r="A234" s="533"/>
      <c r="B234" s="528"/>
      <c r="C234" s="448"/>
      <c r="D234" s="531" t="s">
        <v>250</v>
      </c>
      <c r="E234" s="370" t="s">
        <v>251</v>
      </c>
    </row>
    <row r="235" spans="1:5" ht="15.75" thickBot="1" x14ac:dyDescent="0.3">
      <c r="A235" s="533"/>
      <c r="B235" s="528"/>
      <c r="C235" s="448"/>
      <c r="D235" s="531"/>
      <c r="E235" s="370"/>
    </row>
    <row r="236" spans="1:5" ht="15.75" thickBot="1" x14ac:dyDescent="0.3">
      <c r="B236" s="528"/>
      <c r="C236" s="481"/>
      <c r="D236" s="122"/>
      <c r="E236" s="516"/>
    </row>
    <row r="237" spans="1:5" ht="30.75" thickBot="1" x14ac:dyDescent="0.3">
      <c r="A237" s="112">
        <v>24</v>
      </c>
      <c r="B237" s="527" t="s">
        <v>873</v>
      </c>
      <c r="C237" s="448" t="s">
        <v>1190</v>
      </c>
      <c r="D237" s="530" t="s">
        <v>250</v>
      </c>
      <c r="E237" s="370"/>
    </row>
    <row r="238" spans="1:5" ht="15.75" thickBot="1" x14ac:dyDescent="0.3">
      <c r="A238" s="533"/>
      <c r="B238" s="528"/>
      <c r="C238" s="448"/>
      <c r="D238" s="531" t="s">
        <v>250</v>
      </c>
      <c r="E238" s="370" t="s">
        <v>251</v>
      </c>
    </row>
    <row r="239" spans="1:5" ht="15.75" thickBot="1" x14ac:dyDescent="0.3">
      <c r="A239" s="533"/>
      <c r="B239" s="528"/>
      <c r="C239" s="448"/>
      <c r="D239" s="531"/>
      <c r="E239" s="370"/>
    </row>
    <row r="240" spans="1:5" ht="15.75" thickBot="1" x14ac:dyDescent="0.3">
      <c r="B240" s="480"/>
      <c r="C240" s="481"/>
      <c r="D240" s="122"/>
      <c r="E240" s="482"/>
    </row>
    <row r="241" spans="1:5" ht="30.75" thickBot="1" x14ac:dyDescent="0.3">
      <c r="A241" s="112">
        <v>30</v>
      </c>
      <c r="B241" s="537" t="s">
        <v>873</v>
      </c>
      <c r="C241" s="448" t="s">
        <v>1191</v>
      </c>
      <c r="D241" s="518" t="s">
        <v>250</v>
      </c>
      <c r="E241" s="369"/>
    </row>
    <row r="242" spans="1:5" ht="15.75" thickBot="1" x14ac:dyDescent="0.3">
      <c r="A242" s="533"/>
      <c r="B242" s="528"/>
      <c r="C242" s="448"/>
      <c r="D242" s="531" t="s">
        <v>250</v>
      </c>
      <c r="E242" s="370" t="s">
        <v>251</v>
      </c>
    </row>
    <row r="243" spans="1:5" ht="15.75" thickBot="1" x14ac:dyDescent="0.3">
      <c r="A243" s="533"/>
      <c r="B243" s="529"/>
      <c r="C243" s="448"/>
      <c r="D243" s="519"/>
      <c r="E243" s="92"/>
    </row>
  </sheetData>
  <mergeCells count="36">
    <mergeCell ref="E25:E28"/>
    <mergeCell ref="B29:B32"/>
    <mergeCell ref="B9:B12"/>
    <mergeCell ref="B22:B24"/>
    <mergeCell ref="B17:B21"/>
    <mergeCell ref="B13:B16"/>
    <mergeCell ref="E9:E12"/>
    <mergeCell ref="H7:I8"/>
    <mergeCell ref="B7:B8"/>
    <mergeCell ref="C7:C8"/>
    <mergeCell ref="D7:D8"/>
    <mergeCell ref="E7:E8"/>
    <mergeCell ref="B45:B48"/>
    <mergeCell ref="B41:B44"/>
    <mergeCell ref="D33:D36"/>
    <mergeCell ref="B33:B36"/>
    <mergeCell ref="B25:B28"/>
    <mergeCell ref="D25:D28"/>
    <mergeCell ref="B37:B40"/>
    <mergeCell ref="D29:D32"/>
    <mergeCell ref="D37:D38"/>
    <mergeCell ref="E100:E101"/>
    <mergeCell ref="E102:E105"/>
    <mergeCell ref="E118:E121"/>
    <mergeCell ref="E70:E73"/>
    <mergeCell ref="E52:E53"/>
    <mergeCell ref="E54:E57"/>
    <mergeCell ref="E207:E208"/>
    <mergeCell ref="E209:E212"/>
    <mergeCell ref="E225:E228"/>
    <mergeCell ref="E132:E133"/>
    <mergeCell ref="E134:E137"/>
    <mergeCell ref="E150:E153"/>
    <mergeCell ref="E168:E169"/>
    <mergeCell ref="E170:E173"/>
    <mergeCell ref="E186:E189"/>
  </mergeCells>
  <pageMargins left="0.70866141732283472" right="0.70866141732283472" top="0.74803149606299213" bottom="0.74803149606299213" header="0.31496062992125984" footer="0.31496062992125984"/>
  <pageSetup scale="1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1:Y54"/>
  <sheetViews>
    <sheetView showGridLines="0" topLeftCell="N1" workbookViewId="0">
      <selection activeCell="S1" sqref="S1"/>
    </sheetView>
  </sheetViews>
  <sheetFormatPr baseColWidth="10" defaultRowHeight="15" x14ac:dyDescent="0.25"/>
  <cols>
    <col min="1" max="1" width="2.140625" customWidth="1"/>
    <col min="3" max="3" width="11.42578125" customWidth="1"/>
    <col min="4" max="4" width="14.140625" customWidth="1"/>
    <col min="5" max="5" width="11.42578125" customWidth="1"/>
    <col min="7" max="7" width="3.28515625" customWidth="1"/>
    <col min="11" max="12" width="12" customWidth="1"/>
    <col min="13" max="13" width="14" customWidth="1"/>
    <col min="14" max="14" width="16.42578125" customWidth="1"/>
    <col min="15" max="15" width="17" customWidth="1"/>
    <col min="17" max="17" width="12.7109375" customWidth="1"/>
    <col min="18" max="18" width="15.85546875" customWidth="1"/>
    <col min="19" max="19" width="15" customWidth="1"/>
    <col min="20" max="20" width="16.28515625" customWidth="1"/>
    <col min="23" max="23" width="15.7109375" customWidth="1"/>
    <col min="24" max="24" width="18.42578125" customWidth="1"/>
    <col min="25" max="25" width="16.140625" customWidth="1"/>
  </cols>
  <sheetData>
    <row r="1" spans="2:25" x14ac:dyDescent="0.25">
      <c r="E1" s="813" t="s">
        <v>376</v>
      </c>
      <c r="F1" s="813"/>
      <c r="G1" s="813"/>
      <c r="H1" s="813"/>
      <c r="I1" s="813"/>
      <c r="J1" s="813"/>
      <c r="K1" s="813"/>
      <c r="L1" s="80"/>
    </row>
    <row r="2" spans="2:25" x14ac:dyDescent="0.25">
      <c r="E2" s="813"/>
      <c r="F2" s="813"/>
      <c r="G2" s="813"/>
      <c r="H2" s="813"/>
      <c r="I2" s="813"/>
      <c r="J2" s="813"/>
      <c r="K2" s="813"/>
      <c r="L2" s="80"/>
    </row>
    <row r="3" spans="2:25" ht="15.75" thickBot="1" x14ac:dyDescent="0.3"/>
    <row r="4" spans="2:25" ht="15.75" thickBot="1" x14ac:dyDescent="0.3">
      <c r="B4" s="136"/>
      <c r="C4" s="137"/>
      <c r="D4" s="137"/>
      <c r="E4" s="137"/>
      <c r="F4" s="137"/>
      <c r="G4" s="138"/>
      <c r="H4" s="136"/>
      <c r="I4" s="137" t="s">
        <v>377</v>
      </c>
      <c r="J4" s="138"/>
    </row>
    <row r="5" spans="2:25" ht="15.75" thickBot="1" x14ac:dyDescent="0.3">
      <c r="B5" s="139"/>
      <c r="C5" s="81"/>
      <c r="D5" s="81"/>
      <c r="E5" s="81"/>
      <c r="F5" s="81"/>
      <c r="G5" s="140"/>
      <c r="H5" s="139"/>
      <c r="I5" s="81"/>
      <c r="J5" s="140"/>
      <c r="K5" s="141" t="s">
        <v>378</v>
      </c>
      <c r="L5" s="142" t="s">
        <v>379</v>
      </c>
      <c r="M5" s="142" t="s">
        <v>380</v>
      </c>
      <c r="N5" s="142" t="s">
        <v>381</v>
      </c>
      <c r="O5" s="142" t="s">
        <v>381</v>
      </c>
      <c r="P5" s="141" t="s">
        <v>378</v>
      </c>
      <c r="Q5" s="142" t="s">
        <v>379</v>
      </c>
      <c r="R5" s="142" t="s">
        <v>380</v>
      </c>
      <c r="S5" s="142" t="s">
        <v>381</v>
      </c>
      <c r="T5" s="142" t="s">
        <v>381</v>
      </c>
      <c r="U5" s="396" t="s">
        <v>378</v>
      </c>
      <c r="V5" s="397" t="s">
        <v>379</v>
      </c>
      <c r="W5" s="397" t="s">
        <v>380</v>
      </c>
      <c r="X5" s="397" t="s">
        <v>381</v>
      </c>
      <c r="Y5" s="397" t="s">
        <v>381</v>
      </c>
    </row>
    <row r="6" spans="2:25" ht="15.75" thickBot="1" x14ac:dyDescent="0.3">
      <c r="B6" s="139"/>
      <c r="C6" s="81"/>
      <c r="D6" s="81"/>
      <c r="E6" s="81"/>
      <c r="F6" s="81"/>
      <c r="G6" s="140"/>
      <c r="H6" s="139"/>
      <c r="I6" s="81"/>
      <c r="J6" s="81"/>
      <c r="K6" s="143">
        <v>1</v>
      </c>
      <c r="L6" s="144" t="s">
        <v>382</v>
      </c>
      <c r="M6" s="145">
        <v>40247</v>
      </c>
      <c r="N6" s="145">
        <f>M6+416</f>
        <v>40663</v>
      </c>
      <c r="O6" s="146">
        <f>N6+416</f>
        <v>41079</v>
      </c>
      <c r="P6" s="143">
        <v>1</v>
      </c>
      <c r="Q6" s="144" t="s">
        <v>382</v>
      </c>
      <c r="R6" s="145"/>
      <c r="S6" s="145"/>
      <c r="T6" s="146"/>
      <c r="U6" s="143">
        <v>1</v>
      </c>
      <c r="V6" s="144" t="s">
        <v>382</v>
      </c>
      <c r="W6" s="145"/>
      <c r="X6" s="145"/>
      <c r="Y6" s="146"/>
    </row>
    <row r="7" spans="2:25" ht="15.75" thickBot="1" x14ac:dyDescent="0.3">
      <c r="B7" s="139"/>
      <c r="C7" s="81"/>
      <c r="D7" s="81"/>
      <c r="E7" s="81"/>
      <c r="F7" s="81"/>
      <c r="G7" s="140"/>
      <c r="H7" s="139"/>
      <c r="I7" s="81"/>
      <c r="J7" s="81"/>
      <c r="K7" s="147">
        <v>2</v>
      </c>
      <c r="L7" s="148" t="s">
        <v>108</v>
      </c>
      <c r="M7" s="149">
        <v>40422</v>
      </c>
      <c r="N7" s="149">
        <f t="shared" ref="N7:O52" si="0">M7+416</f>
        <v>40838</v>
      </c>
      <c r="O7" s="146">
        <f t="shared" si="0"/>
        <v>41254</v>
      </c>
      <c r="P7" s="147">
        <v>2</v>
      </c>
      <c r="Q7" s="148" t="s">
        <v>108</v>
      </c>
      <c r="R7" s="149"/>
      <c r="S7" s="149"/>
      <c r="T7" s="146"/>
      <c r="U7" s="147">
        <v>2</v>
      </c>
      <c r="V7" s="148" t="s">
        <v>108</v>
      </c>
      <c r="W7" s="149"/>
      <c r="X7" s="149"/>
      <c r="Y7" s="146"/>
    </row>
    <row r="8" spans="2:25" ht="15.75" thickBot="1" x14ac:dyDescent="0.3">
      <c r="B8" s="139"/>
      <c r="C8" s="81"/>
      <c r="D8" s="814" t="s">
        <v>383</v>
      </c>
      <c r="E8" s="81"/>
      <c r="F8" s="81"/>
      <c r="G8" s="140"/>
      <c r="H8" s="139"/>
      <c r="I8" s="81"/>
      <c r="J8" s="81"/>
      <c r="K8" s="147">
        <v>3</v>
      </c>
      <c r="L8" s="148" t="s">
        <v>108</v>
      </c>
      <c r="M8" s="149">
        <v>40422</v>
      </c>
      <c r="N8" s="149">
        <f t="shared" si="0"/>
        <v>40838</v>
      </c>
      <c r="O8" s="146">
        <f t="shared" si="0"/>
        <v>41254</v>
      </c>
      <c r="P8" s="147">
        <v>3</v>
      </c>
      <c r="Q8" s="148" t="s">
        <v>108</v>
      </c>
      <c r="R8" s="149"/>
      <c r="S8" s="149"/>
      <c r="T8" s="146"/>
      <c r="U8" s="147">
        <v>3</v>
      </c>
      <c r="V8" s="148" t="s">
        <v>108</v>
      </c>
      <c r="W8" s="149"/>
      <c r="X8" s="149"/>
      <c r="Y8" s="146"/>
    </row>
    <row r="9" spans="2:25" ht="15.75" thickBot="1" x14ac:dyDescent="0.3">
      <c r="B9" s="139"/>
      <c r="C9" s="81"/>
      <c r="D9" s="814"/>
      <c r="E9" s="81"/>
      <c r="F9" s="81"/>
      <c r="G9" s="140"/>
      <c r="H9" s="139"/>
      <c r="I9" s="81"/>
      <c r="J9" s="81"/>
      <c r="K9" s="147">
        <v>4</v>
      </c>
      <c r="L9" s="148" t="s">
        <v>108</v>
      </c>
      <c r="M9" s="149">
        <v>40422</v>
      </c>
      <c r="N9" s="149">
        <f t="shared" si="0"/>
        <v>40838</v>
      </c>
      <c r="O9" s="146">
        <f t="shared" si="0"/>
        <v>41254</v>
      </c>
      <c r="P9" s="147">
        <v>4</v>
      </c>
      <c r="Q9" s="148" t="s">
        <v>108</v>
      </c>
      <c r="R9" s="149"/>
      <c r="S9" s="149"/>
      <c r="T9" s="146"/>
      <c r="U9" s="147">
        <v>4</v>
      </c>
      <c r="V9" s="148" t="s">
        <v>108</v>
      </c>
      <c r="W9" s="149"/>
      <c r="X9" s="149"/>
      <c r="Y9" s="146"/>
    </row>
    <row r="10" spans="2:25" ht="15.75" thickBot="1" x14ac:dyDescent="0.3">
      <c r="B10" s="139"/>
      <c r="C10" s="81"/>
      <c r="D10" s="814"/>
      <c r="E10" s="81"/>
      <c r="F10" s="81"/>
      <c r="G10" s="140"/>
      <c r="H10" s="139"/>
      <c r="I10" s="81"/>
      <c r="J10" s="81"/>
      <c r="K10" s="147">
        <v>5</v>
      </c>
      <c r="L10" s="148" t="s">
        <v>108</v>
      </c>
      <c r="M10" s="149">
        <v>40422</v>
      </c>
      <c r="N10" s="149">
        <f t="shared" si="0"/>
        <v>40838</v>
      </c>
      <c r="O10" s="146">
        <f t="shared" si="0"/>
        <v>41254</v>
      </c>
      <c r="P10" s="147">
        <v>5</v>
      </c>
      <c r="Q10" s="148" t="s">
        <v>108</v>
      </c>
      <c r="R10" s="149">
        <v>40771</v>
      </c>
      <c r="S10" s="149">
        <f>R10+416</f>
        <v>41187</v>
      </c>
      <c r="T10" s="146"/>
      <c r="U10" s="147">
        <v>5</v>
      </c>
      <c r="V10" s="148" t="s">
        <v>108</v>
      </c>
      <c r="W10" s="149"/>
      <c r="X10" s="149"/>
      <c r="Y10" s="146"/>
    </row>
    <row r="11" spans="2:25" ht="15.75" thickBot="1" x14ac:dyDescent="0.3">
      <c r="B11" s="139"/>
      <c r="C11" s="81"/>
      <c r="D11" s="81"/>
      <c r="E11" s="81"/>
      <c r="F11" s="81"/>
      <c r="G11" s="140"/>
      <c r="H11" s="139"/>
      <c r="I11" s="81"/>
      <c r="J11" s="81"/>
      <c r="K11" s="147">
        <v>6</v>
      </c>
      <c r="L11" s="148" t="s">
        <v>382</v>
      </c>
      <c r="M11" s="149">
        <v>40247</v>
      </c>
      <c r="N11" s="149">
        <f t="shared" si="0"/>
        <v>40663</v>
      </c>
      <c r="O11" s="146">
        <f t="shared" si="0"/>
        <v>41079</v>
      </c>
      <c r="P11" s="147">
        <v>6</v>
      </c>
      <c r="Q11" s="148" t="s">
        <v>382</v>
      </c>
      <c r="R11" s="149"/>
      <c r="S11" s="149"/>
      <c r="T11" s="146"/>
      <c r="U11" s="147">
        <v>6</v>
      </c>
      <c r="V11" s="148" t="s">
        <v>382</v>
      </c>
      <c r="W11" s="149"/>
      <c r="X11" s="149"/>
      <c r="Y11" s="146"/>
    </row>
    <row r="12" spans="2:25" ht="15.75" thickBot="1" x14ac:dyDescent="0.3">
      <c r="B12" s="139"/>
      <c r="C12" s="81"/>
      <c r="D12" s="81"/>
      <c r="E12" s="81"/>
      <c r="F12" s="81"/>
      <c r="G12" s="140"/>
      <c r="H12" s="139"/>
      <c r="I12" s="81"/>
      <c r="J12" s="81"/>
      <c r="K12" s="147">
        <v>7</v>
      </c>
      <c r="L12" s="148" t="s">
        <v>108</v>
      </c>
      <c r="M12" s="149">
        <v>40247</v>
      </c>
      <c r="N12" s="149">
        <f t="shared" si="0"/>
        <v>40663</v>
      </c>
      <c r="O12" s="146">
        <f t="shared" si="0"/>
        <v>41079</v>
      </c>
      <c r="P12" s="147">
        <v>7</v>
      </c>
      <c r="Q12" s="148" t="s">
        <v>108</v>
      </c>
      <c r="R12" s="149">
        <v>40857</v>
      </c>
      <c r="S12" s="149">
        <f>R12+416</f>
        <v>41273</v>
      </c>
      <c r="T12" s="146"/>
      <c r="U12" s="147">
        <v>7</v>
      </c>
      <c r="V12" s="148" t="s">
        <v>108</v>
      </c>
      <c r="W12" s="149"/>
      <c r="X12" s="149"/>
      <c r="Y12" s="146"/>
    </row>
    <row r="13" spans="2:25" ht="15.75" thickBot="1" x14ac:dyDescent="0.3">
      <c r="B13" s="139"/>
      <c r="C13" s="81"/>
      <c r="D13" s="81"/>
      <c r="E13" s="81"/>
      <c r="F13" s="81"/>
      <c r="G13" s="140"/>
      <c r="H13" s="139"/>
      <c r="I13" s="81"/>
      <c r="J13" s="81"/>
      <c r="K13" s="147">
        <v>8</v>
      </c>
      <c r="L13" s="148" t="s">
        <v>108</v>
      </c>
      <c r="M13" s="149">
        <v>40422</v>
      </c>
      <c r="N13" s="149">
        <f t="shared" si="0"/>
        <v>40838</v>
      </c>
      <c r="O13" s="146">
        <f t="shared" si="0"/>
        <v>41254</v>
      </c>
      <c r="P13" s="147">
        <v>8</v>
      </c>
      <c r="Q13" s="148" t="s">
        <v>108</v>
      </c>
      <c r="R13" s="149">
        <v>40991</v>
      </c>
      <c r="S13" s="149"/>
      <c r="T13" s="146"/>
      <c r="U13" s="147">
        <v>8</v>
      </c>
      <c r="V13" s="148" t="s">
        <v>108</v>
      </c>
      <c r="W13" s="149"/>
      <c r="X13" s="149"/>
      <c r="Y13" s="146"/>
    </row>
    <row r="14" spans="2:25" ht="15.75" thickBot="1" x14ac:dyDescent="0.3">
      <c r="B14" s="139"/>
      <c r="C14" s="81"/>
      <c r="D14" s="81"/>
      <c r="E14" s="81"/>
      <c r="F14" s="81"/>
      <c r="G14" s="140"/>
      <c r="H14" s="139"/>
      <c r="I14" s="81"/>
      <c r="J14" s="81"/>
      <c r="K14" s="147">
        <v>9</v>
      </c>
      <c r="L14" s="148" t="s">
        <v>108</v>
      </c>
      <c r="M14" s="149">
        <v>40422</v>
      </c>
      <c r="N14" s="149">
        <f t="shared" si="0"/>
        <v>40838</v>
      </c>
      <c r="O14" s="146">
        <f t="shared" si="0"/>
        <v>41254</v>
      </c>
      <c r="P14" s="147">
        <v>9</v>
      </c>
      <c r="Q14" s="148" t="s">
        <v>108</v>
      </c>
      <c r="R14" s="149">
        <v>40991</v>
      </c>
      <c r="S14" s="149"/>
      <c r="T14" s="146"/>
      <c r="U14" s="147">
        <v>9</v>
      </c>
      <c r="V14" s="148" t="s">
        <v>108</v>
      </c>
      <c r="W14" s="149"/>
      <c r="X14" s="149"/>
      <c r="Y14" s="146"/>
    </row>
    <row r="15" spans="2:25" ht="15.75" thickBot="1" x14ac:dyDescent="0.3">
      <c r="B15" s="139"/>
      <c r="C15" s="81"/>
      <c r="D15" s="81"/>
      <c r="E15" s="81"/>
      <c r="F15" s="81"/>
      <c r="G15" s="140"/>
      <c r="H15" s="139"/>
      <c r="I15" s="81"/>
      <c r="J15" s="81"/>
      <c r="K15" s="147">
        <v>10</v>
      </c>
      <c r="L15" s="148" t="s">
        <v>108</v>
      </c>
      <c r="M15" s="149">
        <v>40422</v>
      </c>
      <c r="N15" s="149">
        <f t="shared" si="0"/>
        <v>40838</v>
      </c>
      <c r="O15" s="146">
        <f t="shared" si="0"/>
        <v>41254</v>
      </c>
      <c r="P15" s="147">
        <v>10</v>
      </c>
      <c r="Q15" s="148" t="s">
        <v>108</v>
      </c>
      <c r="R15" s="149">
        <v>40991</v>
      </c>
      <c r="S15" s="149"/>
      <c r="T15" s="146"/>
      <c r="U15" s="147">
        <v>10</v>
      </c>
      <c r="V15" s="148" t="s">
        <v>108</v>
      </c>
      <c r="W15" s="149"/>
      <c r="X15" s="149"/>
      <c r="Y15" s="146"/>
    </row>
    <row r="16" spans="2:25" ht="15.75" thickBot="1" x14ac:dyDescent="0.3">
      <c r="B16" s="139"/>
      <c r="C16" s="81"/>
      <c r="D16" s="81"/>
      <c r="E16" s="81"/>
      <c r="F16" s="81"/>
      <c r="G16" s="140"/>
      <c r="H16" s="139"/>
      <c r="I16" s="81"/>
      <c r="J16" s="81"/>
      <c r="K16" s="147">
        <v>11</v>
      </c>
      <c r="L16" s="148" t="s">
        <v>382</v>
      </c>
      <c r="M16" s="149">
        <v>40238</v>
      </c>
      <c r="N16" s="149">
        <f t="shared" si="0"/>
        <v>40654</v>
      </c>
      <c r="O16" s="146">
        <f t="shared" si="0"/>
        <v>41070</v>
      </c>
      <c r="P16" s="147">
        <v>11</v>
      </c>
      <c r="Q16" s="148" t="s">
        <v>382</v>
      </c>
      <c r="R16" s="149"/>
      <c r="S16" s="149"/>
      <c r="T16" s="146"/>
      <c r="U16" s="147">
        <v>11</v>
      </c>
      <c r="V16" s="148" t="s">
        <v>382</v>
      </c>
      <c r="W16" s="149"/>
      <c r="X16" s="149"/>
      <c r="Y16" s="146"/>
    </row>
    <row r="17" spans="2:25" ht="15.75" thickBot="1" x14ac:dyDescent="0.3">
      <c r="B17" s="139"/>
      <c r="C17" s="81"/>
      <c r="D17" s="81"/>
      <c r="E17" s="81"/>
      <c r="F17" s="81"/>
      <c r="G17" s="140"/>
      <c r="H17" s="139"/>
      <c r="I17" s="81"/>
      <c r="J17" s="81"/>
      <c r="K17" s="147">
        <v>12</v>
      </c>
      <c r="L17" s="148" t="s">
        <v>108</v>
      </c>
      <c r="M17" s="149">
        <v>40331</v>
      </c>
      <c r="N17" s="149">
        <f t="shared" si="0"/>
        <v>40747</v>
      </c>
      <c r="O17" s="146">
        <f t="shared" si="0"/>
        <v>41163</v>
      </c>
      <c r="P17" s="147">
        <v>12</v>
      </c>
      <c r="Q17" s="148" t="s">
        <v>108</v>
      </c>
      <c r="R17" s="149">
        <v>40821</v>
      </c>
      <c r="S17" s="149">
        <f>R17+416</f>
        <v>41237</v>
      </c>
      <c r="T17" s="146"/>
      <c r="U17" s="147">
        <v>12</v>
      </c>
      <c r="V17" s="148" t="s">
        <v>108</v>
      </c>
      <c r="W17" s="149"/>
      <c r="X17" s="149"/>
      <c r="Y17" s="146"/>
    </row>
    <row r="18" spans="2:25" ht="15.75" thickBot="1" x14ac:dyDescent="0.3">
      <c r="B18" s="150"/>
      <c r="C18" s="151"/>
      <c r="D18" s="151"/>
      <c r="E18" s="151"/>
      <c r="F18" s="151"/>
      <c r="G18" s="152"/>
      <c r="H18" s="150"/>
      <c r="I18" s="151"/>
      <c r="J18" s="151"/>
      <c r="K18" s="147">
        <v>13</v>
      </c>
      <c r="L18" s="148" t="s">
        <v>108</v>
      </c>
      <c r="M18" s="149">
        <v>40247</v>
      </c>
      <c r="N18" s="149">
        <f t="shared" si="0"/>
        <v>40663</v>
      </c>
      <c r="O18" s="146">
        <f t="shared" si="0"/>
        <v>41079</v>
      </c>
      <c r="P18" s="147">
        <v>13</v>
      </c>
      <c r="Q18" s="148" t="s">
        <v>108</v>
      </c>
      <c r="R18" s="149"/>
      <c r="S18" s="149"/>
      <c r="T18" s="146"/>
      <c r="U18" s="147">
        <v>13</v>
      </c>
      <c r="V18" s="148" t="s">
        <v>108</v>
      </c>
      <c r="W18" s="149"/>
      <c r="X18" s="149"/>
      <c r="Y18" s="146"/>
    </row>
    <row r="19" spans="2:25" ht="15.75" thickBot="1" x14ac:dyDescent="0.3">
      <c r="B19" s="139"/>
      <c r="C19" s="81"/>
      <c r="D19" s="815" t="s">
        <v>384</v>
      </c>
      <c r="E19" s="815"/>
      <c r="F19" s="815"/>
      <c r="G19" s="815"/>
      <c r="H19" s="815"/>
      <c r="I19" s="81"/>
      <c r="J19" s="81"/>
      <c r="K19" s="147">
        <v>14</v>
      </c>
      <c r="L19" s="148" t="s">
        <v>108</v>
      </c>
      <c r="M19" s="149">
        <v>40423</v>
      </c>
      <c r="N19" s="149">
        <f t="shared" si="0"/>
        <v>40839</v>
      </c>
      <c r="O19" s="146">
        <f t="shared" si="0"/>
        <v>41255</v>
      </c>
      <c r="P19" s="147">
        <v>14</v>
      </c>
      <c r="Q19" s="148" t="s">
        <v>108</v>
      </c>
      <c r="R19" s="149"/>
      <c r="S19" s="149"/>
      <c r="T19" s="146"/>
      <c r="U19" s="147">
        <v>14</v>
      </c>
      <c r="V19" s="148" t="s">
        <v>108</v>
      </c>
      <c r="W19" s="149"/>
      <c r="X19" s="149"/>
      <c r="Y19" s="146"/>
    </row>
    <row r="20" spans="2:25" ht="15.75" thickBot="1" x14ac:dyDescent="0.3">
      <c r="B20" s="139"/>
      <c r="C20" s="81"/>
      <c r="D20" s="81"/>
      <c r="E20" s="81"/>
      <c r="F20" s="81"/>
      <c r="G20" s="81"/>
      <c r="H20" s="81"/>
      <c r="I20" s="81"/>
      <c r="J20" s="81"/>
      <c r="K20" s="147">
        <v>15</v>
      </c>
      <c r="L20" s="148" t="s">
        <v>108</v>
      </c>
      <c r="M20" s="149">
        <v>40423</v>
      </c>
      <c r="N20" s="149">
        <f t="shared" si="0"/>
        <v>40839</v>
      </c>
      <c r="O20" s="146">
        <f t="shared" si="0"/>
        <v>41255</v>
      </c>
      <c r="P20" s="147">
        <v>15</v>
      </c>
      <c r="Q20" s="148" t="s">
        <v>108</v>
      </c>
      <c r="R20" s="149"/>
      <c r="S20" s="149"/>
      <c r="T20" s="146"/>
      <c r="U20" s="147">
        <v>15</v>
      </c>
      <c r="V20" s="148" t="s">
        <v>108</v>
      </c>
      <c r="W20" s="149"/>
      <c r="X20" s="149"/>
      <c r="Y20" s="146"/>
    </row>
    <row r="21" spans="2:25" ht="15.75" thickBot="1" x14ac:dyDescent="0.3">
      <c r="B21" s="139"/>
      <c r="C21" s="81"/>
      <c r="D21" s="81"/>
      <c r="E21" s="81"/>
      <c r="F21" s="81"/>
      <c r="G21" s="81"/>
      <c r="H21" s="81"/>
      <c r="I21" s="81"/>
      <c r="J21" s="81"/>
      <c r="K21" s="147">
        <v>16</v>
      </c>
      <c r="L21" s="148" t="s">
        <v>382</v>
      </c>
      <c r="M21" s="149">
        <v>40457</v>
      </c>
      <c r="N21" s="149">
        <f t="shared" si="0"/>
        <v>40873</v>
      </c>
      <c r="O21" s="146">
        <f t="shared" si="0"/>
        <v>41289</v>
      </c>
      <c r="P21" s="147">
        <v>16</v>
      </c>
      <c r="Q21" s="148" t="s">
        <v>382</v>
      </c>
      <c r="R21" s="149"/>
      <c r="S21" s="149"/>
      <c r="T21" s="146"/>
      <c r="U21" s="147">
        <v>16</v>
      </c>
      <c r="V21" s="148" t="s">
        <v>382</v>
      </c>
      <c r="W21" s="149"/>
      <c r="X21" s="149"/>
      <c r="Y21" s="146"/>
    </row>
    <row r="22" spans="2:25" ht="15.75" thickBot="1" x14ac:dyDescent="0.3">
      <c r="B22" s="139"/>
      <c r="C22" s="81"/>
      <c r="D22" s="81"/>
      <c r="E22" s="81"/>
      <c r="F22" s="81"/>
      <c r="G22" s="81"/>
      <c r="H22" s="81"/>
      <c r="I22" s="81"/>
      <c r="J22" s="81"/>
      <c r="K22" s="147">
        <v>17</v>
      </c>
      <c r="L22" s="148" t="s">
        <v>385</v>
      </c>
      <c r="M22" s="149">
        <v>40365</v>
      </c>
      <c r="N22" s="149">
        <f t="shared" si="0"/>
        <v>40781</v>
      </c>
      <c r="O22" s="146">
        <f t="shared" si="0"/>
        <v>41197</v>
      </c>
      <c r="P22" s="147">
        <v>17</v>
      </c>
      <c r="Q22" s="148" t="s">
        <v>385</v>
      </c>
      <c r="R22" s="149"/>
      <c r="S22" s="149"/>
      <c r="T22" s="146"/>
      <c r="U22" s="147">
        <v>17</v>
      </c>
      <c r="V22" s="148" t="s">
        <v>385</v>
      </c>
      <c r="W22" s="149"/>
      <c r="X22" s="149"/>
      <c r="Y22" s="146"/>
    </row>
    <row r="23" spans="2:25" ht="15.75" thickBot="1" x14ac:dyDescent="0.3">
      <c r="B23" s="139"/>
      <c r="C23" s="81"/>
      <c r="D23" s="81"/>
      <c r="E23" s="81"/>
      <c r="F23" s="81"/>
      <c r="G23" s="81"/>
      <c r="H23" s="81"/>
      <c r="I23" s="81"/>
      <c r="J23" s="81"/>
      <c r="K23" s="147">
        <v>18</v>
      </c>
      <c r="L23" s="148" t="s">
        <v>385</v>
      </c>
      <c r="M23" s="149">
        <v>40576</v>
      </c>
      <c r="N23" s="149">
        <f t="shared" si="0"/>
        <v>40992</v>
      </c>
      <c r="O23" s="146">
        <f t="shared" si="0"/>
        <v>41408</v>
      </c>
      <c r="P23" s="147">
        <v>18</v>
      </c>
      <c r="Q23" s="148" t="s">
        <v>385</v>
      </c>
      <c r="R23" s="149">
        <v>40906</v>
      </c>
      <c r="S23" s="149">
        <f>R23+416</f>
        <v>41322</v>
      </c>
      <c r="T23" s="146"/>
      <c r="U23" s="147">
        <v>18</v>
      </c>
      <c r="V23" s="148" t="s">
        <v>385</v>
      </c>
      <c r="W23" s="149"/>
      <c r="X23" s="149"/>
      <c r="Y23" s="146"/>
    </row>
    <row r="24" spans="2:25" ht="15.75" thickBot="1" x14ac:dyDescent="0.3">
      <c r="B24" s="150"/>
      <c r="C24" s="151"/>
      <c r="D24" s="151"/>
      <c r="E24" s="151"/>
      <c r="F24" s="151"/>
      <c r="G24" s="151"/>
      <c r="H24" s="151"/>
      <c r="I24" s="151"/>
      <c r="J24" s="151"/>
      <c r="K24" s="147">
        <v>19</v>
      </c>
      <c r="L24" s="148" t="s">
        <v>385</v>
      </c>
      <c r="M24" s="149">
        <v>40576</v>
      </c>
      <c r="N24" s="149">
        <f t="shared" si="0"/>
        <v>40992</v>
      </c>
      <c r="O24" s="146">
        <f t="shared" si="0"/>
        <v>41408</v>
      </c>
      <c r="P24" s="147">
        <v>19</v>
      </c>
      <c r="Q24" s="148" t="s">
        <v>385</v>
      </c>
      <c r="R24" s="149"/>
      <c r="S24" s="149"/>
      <c r="T24" s="146"/>
      <c r="U24" s="147">
        <v>19</v>
      </c>
      <c r="V24" s="148" t="s">
        <v>385</v>
      </c>
      <c r="W24" s="149"/>
      <c r="X24" s="149"/>
      <c r="Y24" s="146"/>
    </row>
    <row r="25" spans="2:25" ht="15.75" thickBot="1" x14ac:dyDescent="0.3">
      <c r="B25" s="136"/>
      <c r="C25" s="137"/>
      <c r="D25" s="138"/>
      <c r="E25" s="136"/>
      <c r="F25" s="138"/>
      <c r="G25" s="136"/>
      <c r="H25" s="137"/>
      <c r="I25" s="137"/>
      <c r="J25" s="138"/>
      <c r="K25" s="147">
        <v>20</v>
      </c>
      <c r="L25" s="148" t="s">
        <v>385</v>
      </c>
      <c r="M25" s="149">
        <v>40255</v>
      </c>
      <c r="N25" s="149">
        <v>40637</v>
      </c>
      <c r="O25" s="146">
        <f t="shared" si="0"/>
        <v>41053</v>
      </c>
      <c r="P25" s="147">
        <v>20</v>
      </c>
      <c r="Q25" s="148" t="s">
        <v>385</v>
      </c>
      <c r="R25" s="149"/>
      <c r="S25" s="149"/>
      <c r="T25" s="146"/>
      <c r="U25" s="147">
        <v>20</v>
      </c>
      <c r="V25" s="148" t="s">
        <v>385</v>
      </c>
      <c r="W25" s="149"/>
      <c r="X25" s="149"/>
      <c r="Y25" s="146"/>
    </row>
    <row r="26" spans="2:25" ht="15.75" thickBot="1" x14ac:dyDescent="0.3">
      <c r="B26" s="139"/>
      <c r="C26" s="81"/>
      <c r="D26" s="140"/>
      <c r="E26" s="139"/>
      <c r="F26" s="140"/>
      <c r="G26" s="139"/>
      <c r="H26" s="81"/>
      <c r="I26" s="81"/>
      <c r="J26" s="140"/>
      <c r="K26" s="147">
        <v>21</v>
      </c>
      <c r="L26" s="148" t="s">
        <v>382</v>
      </c>
      <c r="M26" s="148"/>
      <c r="N26" s="149">
        <f t="shared" si="0"/>
        <v>416</v>
      </c>
      <c r="O26" s="146">
        <f t="shared" si="0"/>
        <v>832</v>
      </c>
      <c r="P26" s="147">
        <v>21</v>
      </c>
      <c r="Q26" s="148" t="s">
        <v>382</v>
      </c>
      <c r="R26" s="148"/>
      <c r="S26" s="149"/>
      <c r="T26" s="146"/>
      <c r="U26" s="147">
        <v>21</v>
      </c>
      <c r="V26" s="148" t="s">
        <v>382</v>
      </c>
      <c r="W26" s="148"/>
      <c r="X26" s="149"/>
      <c r="Y26" s="146"/>
    </row>
    <row r="27" spans="2:25" ht="15.75" thickBot="1" x14ac:dyDescent="0.3">
      <c r="B27" s="139"/>
      <c r="C27" s="81"/>
      <c r="D27" s="140"/>
      <c r="E27" s="139"/>
      <c r="F27" s="140"/>
      <c r="G27" s="139"/>
      <c r="H27" s="81"/>
      <c r="I27" s="81"/>
      <c r="J27" s="140"/>
      <c r="K27" s="147">
        <v>22</v>
      </c>
      <c r="L27" s="148" t="s">
        <v>385</v>
      </c>
      <c r="M27" s="149">
        <v>40247</v>
      </c>
      <c r="N27" s="149">
        <f t="shared" si="0"/>
        <v>40663</v>
      </c>
      <c r="O27" s="146">
        <f t="shared" si="0"/>
        <v>41079</v>
      </c>
      <c r="P27" s="147">
        <v>22</v>
      </c>
      <c r="Q27" s="148" t="s">
        <v>385</v>
      </c>
      <c r="R27" s="149"/>
      <c r="S27" s="149"/>
      <c r="T27" s="146"/>
      <c r="U27" s="147">
        <v>22</v>
      </c>
      <c r="V27" s="148" t="s">
        <v>385</v>
      </c>
      <c r="W27" s="149"/>
      <c r="X27" s="149"/>
      <c r="Y27" s="146"/>
    </row>
    <row r="28" spans="2:25" ht="15.75" thickBot="1" x14ac:dyDescent="0.3">
      <c r="B28" s="139"/>
      <c r="C28" s="81" t="s">
        <v>386</v>
      </c>
      <c r="D28" s="140"/>
      <c r="E28" s="139" t="s">
        <v>387</v>
      </c>
      <c r="F28" s="140"/>
      <c r="G28" s="139"/>
      <c r="H28" s="81"/>
      <c r="I28" s="81" t="s">
        <v>247</v>
      </c>
      <c r="J28" s="140"/>
      <c r="K28" s="147">
        <v>23</v>
      </c>
      <c r="L28" s="148" t="s">
        <v>385</v>
      </c>
      <c r="M28" s="149">
        <v>40457</v>
      </c>
      <c r="N28" s="149">
        <f t="shared" si="0"/>
        <v>40873</v>
      </c>
      <c r="O28" s="146">
        <f t="shared" si="0"/>
        <v>41289</v>
      </c>
      <c r="P28" s="147">
        <v>23</v>
      </c>
      <c r="Q28" s="148" t="s">
        <v>385</v>
      </c>
      <c r="R28" s="149"/>
      <c r="S28" s="149"/>
      <c r="T28" s="146"/>
      <c r="U28" s="147">
        <v>23</v>
      </c>
      <c r="V28" s="148" t="s">
        <v>385</v>
      </c>
      <c r="W28" s="149"/>
      <c r="X28" s="149"/>
      <c r="Y28" s="146"/>
    </row>
    <row r="29" spans="2:25" ht="15.75" thickBot="1" x14ac:dyDescent="0.3">
      <c r="B29" s="139"/>
      <c r="C29" s="81"/>
      <c r="D29" s="140"/>
      <c r="E29" s="139"/>
      <c r="F29" s="140"/>
      <c r="G29" s="139"/>
      <c r="H29" s="81"/>
      <c r="I29" s="81"/>
      <c r="J29" s="140"/>
      <c r="K29" s="147">
        <v>24</v>
      </c>
      <c r="L29" s="148" t="s">
        <v>385</v>
      </c>
      <c r="M29" s="149">
        <v>40365</v>
      </c>
      <c r="N29" s="149">
        <f t="shared" si="0"/>
        <v>40781</v>
      </c>
      <c r="O29" s="146">
        <f t="shared" si="0"/>
        <v>41197</v>
      </c>
      <c r="P29" s="147">
        <v>24</v>
      </c>
      <c r="Q29" s="148" t="s">
        <v>385</v>
      </c>
      <c r="R29" s="149"/>
      <c r="S29" s="149"/>
      <c r="T29" s="146"/>
      <c r="U29" s="147">
        <v>24</v>
      </c>
      <c r="V29" s="148" t="s">
        <v>385</v>
      </c>
      <c r="W29" s="149"/>
      <c r="X29" s="149"/>
      <c r="Y29" s="146"/>
    </row>
    <row r="30" spans="2:25" ht="15.75" thickBot="1" x14ac:dyDescent="0.3">
      <c r="B30" s="131" t="s">
        <v>388</v>
      </c>
      <c r="C30" s="81"/>
      <c r="D30" s="140"/>
      <c r="E30" s="139"/>
      <c r="F30" s="140"/>
      <c r="G30" s="139"/>
      <c r="H30" s="81"/>
      <c r="I30" s="81"/>
      <c r="J30" s="140"/>
      <c r="K30" s="147">
        <v>25</v>
      </c>
      <c r="L30" s="148" t="s">
        <v>385</v>
      </c>
      <c r="M30" s="149">
        <v>40590</v>
      </c>
      <c r="N30" s="149">
        <f t="shared" si="0"/>
        <v>41006</v>
      </c>
      <c r="O30" s="146">
        <f t="shared" si="0"/>
        <v>41422</v>
      </c>
      <c r="P30" s="147">
        <v>25</v>
      </c>
      <c r="Q30" s="148" t="s">
        <v>385</v>
      </c>
      <c r="R30" s="149"/>
      <c r="S30" s="149"/>
      <c r="T30" s="146"/>
      <c r="U30" s="147">
        <v>25</v>
      </c>
      <c r="V30" s="148" t="s">
        <v>385</v>
      </c>
      <c r="W30" s="149"/>
      <c r="X30" s="149"/>
      <c r="Y30" s="146"/>
    </row>
    <row r="31" spans="2:25" ht="15.75" thickBot="1" x14ac:dyDescent="0.3">
      <c r="B31" s="132"/>
      <c r="C31" s="81"/>
      <c r="D31" s="140"/>
      <c r="E31" s="139"/>
      <c r="F31" s="140"/>
      <c r="G31" s="139"/>
      <c r="H31" s="81"/>
      <c r="I31" s="81"/>
      <c r="J31" s="140"/>
      <c r="K31" s="147">
        <v>26</v>
      </c>
      <c r="L31" s="148" t="s">
        <v>382</v>
      </c>
      <c r="M31" s="149">
        <v>40365</v>
      </c>
      <c r="N31" s="149">
        <f t="shared" si="0"/>
        <v>40781</v>
      </c>
      <c r="O31" s="146">
        <f t="shared" si="0"/>
        <v>41197</v>
      </c>
      <c r="P31" s="147">
        <v>26</v>
      </c>
      <c r="Q31" s="148" t="s">
        <v>382</v>
      </c>
      <c r="R31" s="149"/>
      <c r="S31" s="149"/>
      <c r="T31" s="146"/>
      <c r="U31" s="147">
        <v>26</v>
      </c>
      <c r="V31" s="148" t="s">
        <v>382</v>
      </c>
      <c r="W31" s="149"/>
      <c r="X31" s="149"/>
      <c r="Y31" s="146"/>
    </row>
    <row r="32" spans="2:25" ht="15.75" thickBot="1" x14ac:dyDescent="0.3">
      <c r="B32" s="132"/>
      <c r="C32" s="81"/>
      <c r="D32" s="140"/>
      <c r="E32" s="139"/>
      <c r="F32" s="140"/>
      <c r="G32" s="139"/>
      <c r="H32" s="81"/>
      <c r="I32" s="81"/>
      <c r="J32" s="140"/>
      <c r="K32" s="147">
        <v>27</v>
      </c>
      <c r="L32" s="148" t="s">
        <v>385</v>
      </c>
      <c r="M32" s="149">
        <v>40498</v>
      </c>
      <c r="N32" s="149">
        <f t="shared" si="0"/>
        <v>40914</v>
      </c>
      <c r="O32" s="146">
        <f t="shared" si="0"/>
        <v>41330</v>
      </c>
      <c r="P32" s="147">
        <v>27</v>
      </c>
      <c r="Q32" s="148" t="s">
        <v>385</v>
      </c>
      <c r="R32" s="149"/>
      <c r="S32" s="149"/>
      <c r="T32" s="146"/>
      <c r="U32" s="147">
        <v>27</v>
      </c>
      <c r="V32" s="148" t="s">
        <v>385</v>
      </c>
      <c r="W32" s="149"/>
      <c r="X32" s="149"/>
      <c r="Y32" s="146"/>
    </row>
    <row r="33" spans="2:25" ht="15.75" thickBot="1" x14ac:dyDescent="0.3">
      <c r="B33" s="132"/>
      <c r="C33" s="81"/>
      <c r="D33" s="140"/>
      <c r="E33" s="139"/>
      <c r="F33" s="140"/>
      <c r="G33" s="139"/>
      <c r="H33" s="81"/>
      <c r="I33" s="81"/>
      <c r="J33" s="140"/>
      <c r="K33" s="147">
        <v>28</v>
      </c>
      <c r="L33" s="148" t="s">
        <v>385</v>
      </c>
      <c r="M33" s="149">
        <v>40469</v>
      </c>
      <c r="N33" s="149">
        <f t="shared" si="0"/>
        <v>40885</v>
      </c>
      <c r="O33" s="146">
        <f t="shared" si="0"/>
        <v>41301</v>
      </c>
      <c r="P33" s="147">
        <v>28</v>
      </c>
      <c r="Q33" s="148" t="s">
        <v>385</v>
      </c>
      <c r="R33" s="149"/>
      <c r="S33" s="149"/>
      <c r="T33" s="146"/>
      <c r="U33" s="147">
        <v>28</v>
      </c>
      <c r="V33" s="148" t="s">
        <v>385</v>
      </c>
      <c r="W33" s="149"/>
      <c r="X33" s="149"/>
      <c r="Y33" s="146"/>
    </row>
    <row r="34" spans="2:25" ht="15.75" thickBot="1" x14ac:dyDescent="0.3">
      <c r="B34" s="133"/>
      <c r="C34" s="151"/>
      <c r="D34" s="152"/>
      <c r="E34" s="150"/>
      <c r="F34" s="152"/>
      <c r="G34" s="153"/>
      <c r="H34" s="151"/>
      <c r="I34" s="151"/>
      <c r="J34" s="152"/>
      <c r="K34" s="147">
        <v>29</v>
      </c>
      <c r="L34" s="148" t="s">
        <v>385</v>
      </c>
      <c r="M34" s="149">
        <v>40312</v>
      </c>
      <c r="N34" s="149">
        <f t="shared" si="0"/>
        <v>40728</v>
      </c>
      <c r="O34" s="146">
        <f t="shared" si="0"/>
        <v>41144</v>
      </c>
      <c r="P34" s="147">
        <v>29</v>
      </c>
      <c r="Q34" s="148" t="s">
        <v>385</v>
      </c>
      <c r="R34" s="149"/>
      <c r="S34" s="149"/>
      <c r="T34" s="146"/>
      <c r="U34" s="147">
        <v>29</v>
      </c>
      <c r="V34" s="148" t="s">
        <v>385</v>
      </c>
      <c r="W34" s="149"/>
      <c r="X34" s="149"/>
      <c r="Y34" s="146"/>
    </row>
    <row r="35" spans="2:25" ht="15.75" thickBot="1" x14ac:dyDescent="0.3">
      <c r="K35" s="147">
        <v>30</v>
      </c>
      <c r="L35" s="148" t="s">
        <v>385</v>
      </c>
      <c r="M35" s="149">
        <v>40498</v>
      </c>
      <c r="N35" s="149">
        <f t="shared" si="0"/>
        <v>40914</v>
      </c>
      <c r="O35" s="146">
        <f t="shared" si="0"/>
        <v>41330</v>
      </c>
      <c r="P35" s="147">
        <v>30</v>
      </c>
      <c r="Q35" s="148" t="s">
        <v>385</v>
      </c>
      <c r="R35" s="149">
        <v>40953</v>
      </c>
      <c r="S35" s="149"/>
      <c r="T35" s="146"/>
      <c r="U35" s="147">
        <v>30</v>
      </c>
      <c r="V35" s="148" t="s">
        <v>385</v>
      </c>
      <c r="W35" s="149"/>
      <c r="X35" s="149"/>
      <c r="Y35" s="146"/>
    </row>
    <row r="36" spans="2:25" ht="15.75" thickBot="1" x14ac:dyDescent="0.3">
      <c r="E36" s="154"/>
      <c r="F36" s="154"/>
      <c r="K36" s="147">
        <v>31</v>
      </c>
      <c r="L36" s="148" t="s">
        <v>382</v>
      </c>
      <c r="M36" s="148"/>
      <c r="N36" s="149">
        <f t="shared" si="0"/>
        <v>416</v>
      </c>
      <c r="O36" s="146">
        <f t="shared" si="0"/>
        <v>832</v>
      </c>
      <c r="P36" s="147">
        <v>31</v>
      </c>
      <c r="Q36" s="148" t="s">
        <v>382</v>
      </c>
      <c r="R36" s="148"/>
      <c r="S36" s="149"/>
      <c r="T36" s="146"/>
      <c r="U36" s="147">
        <v>31</v>
      </c>
      <c r="V36" s="148" t="s">
        <v>382</v>
      </c>
      <c r="W36" s="148"/>
      <c r="X36" s="149"/>
      <c r="Y36" s="146"/>
    </row>
    <row r="37" spans="2:25" ht="15.75" thickBot="1" x14ac:dyDescent="0.3">
      <c r="K37" s="147">
        <v>32</v>
      </c>
      <c r="L37" s="148" t="s">
        <v>385</v>
      </c>
      <c r="M37" s="149">
        <v>40498</v>
      </c>
      <c r="N37" s="149">
        <f t="shared" si="0"/>
        <v>40914</v>
      </c>
      <c r="O37" s="146">
        <f t="shared" si="0"/>
        <v>41330</v>
      </c>
      <c r="P37" s="147">
        <v>32</v>
      </c>
      <c r="Q37" s="148" t="s">
        <v>385</v>
      </c>
      <c r="R37" s="149"/>
      <c r="S37" s="149"/>
      <c r="T37" s="146"/>
      <c r="U37" s="147">
        <v>32</v>
      </c>
      <c r="V37" s="148" t="s">
        <v>385</v>
      </c>
      <c r="W37" s="149"/>
      <c r="X37" s="149"/>
      <c r="Y37" s="146"/>
    </row>
    <row r="38" spans="2:25" ht="15.75" thickBot="1" x14ac:dyDescent="0.3">
      <c r="K38" s="147">
        <v>33</v>
      </c>
      <c r="L38" s="148" t="s">
        <v>385</v>
      </c>
      <c r="M38" s="149">
        <v>40310</v>
      </c>
      <c r="N38" s="149">
        <f t="shared" si="0"/>
        <v>40726</v>
      </c>
      <c r="O38" s="146">
        <f t="shared" si="0"/>
        <v>41142</v>
      </c>
      <c r="P38" s="147">
        <v>33</v>
      </c>
      <c r="Q38" s="148" t="s">
        <v>385</v>
      </c>
      <c r="R38" s="149"/>
      <c r="S38" s="149"/>
      <c r="T38" s="146"/>
      <c r="U38" s="147">
        <v>33</v>
      </c>
      <c r="V38" s="148" t="s">
        <v>385</v>
      </c>
      <c r="W38" s="149"/>
      <c r="X38" s="149"/>
      <c r="Y38" s="146"/>
    </row>
    <row r="39" spans="2:25" ht="15.75" thickBot="1" x14ac:dyDescent="0.3">
      <c r="K39" s="147">
        <v>34</v>
      </c>
      <c r="L39" s="148" t="s">
        <v>385</v>
      </c>
      <c r="M39" s="149">
        <v>40469</v>
      </c>
      <c r="N39" s="149">
        <f t="shared" si="0"/>
        <v>40885</v>
      </c>
      <c r="O39" s="146">
        <f t="shared" si="0"/>
        <v>41301</v>
      </c>
      <c r="P39" s="147">
        <v>34</v>
      </c>
      <c r="Q39" s="148" t="s">
        <v>385</v>
      </c>
      <c r="R39" s="149">
        <v>40906</v>
      </c>
      <c r="S39" s="149">
        <f>R39+416</f>
        <v>41322</v>
      </c>
      <c r="T39" s="146"/>
      <c r="U39" s="147">
        <v>34</v>
      </c>
      <c r="V39" s="148" t="s">
        <v>385</v>
      </c>
      <c r="W39" s="149"/>
      <c r="X39" s="149"/>
      <c r="Y39" s="146"/>
    </row>
    <row r="40" spans="2:25" ht="15.75" thickBot="1" x14ac:dyDescent="0.3">
      <c r="K40" s="147">
        <v>35</v>
      </c>
      <c r="L40" s="148" t="s">
        <v>385</v>
      </c>
      <c r="M40" s="149">
        <v>40469</v>
      </c>
      <c r="N40" s="149">
        <v>40638</v>
      </c>
      <c r="O40" s="146">
        <f t="shared" si="0"/>
        <v>41054</v>
      </c>
      <c r="P40" s="147">
        <v>35</v>
      </c>
      <c r="Q40" s="148" t="s">
        <v>385</v>
      </c>
      <c r="R40" s="149"/>
      <c r="S40" s="149"/>
      <c r="T40" s="146"/>
      <c r="U40" s="147">
        <v>35</v>
      </c>
      <c r="V40" s="148" t="s">
        <v>385</v>
      </c>
      <c r="W40" s="149"/>
      <c r="X40" s="149"/>
      <c r="Y40" s="146"/>
    </row>
    <row r="41" spans="2:25" ht="15.75" thickBot="1" x14ac:dyDescent="0.3">
      <c r="K41" s="147">
        <v>36</v>
      </c>
      <c r="L41" s="148" t="s">
        <v>389</v>
      </c>
      <c r="M41" s="148"/>
      <c r="N41" s="149">
        <f t="shared" si="0"/>
        <v>416</v>
      </c>
      <c r="O41" s="146">
        <f t="shared" si="0"/>
        <v>832</v>
      </c>
      <c r="P41" s="147">
        <v>36</v>
      </c>
      <c r="Q41" s="148" t="s">
        <v>389</v>
      </c>
      <c r="R41" s="148"/>
      <c r="S41" s="149"/>
      <c r="T41" s="146"/>
      <c r="U41" s="147">
        <v>36</v>
      </c>
      <c r="V41" s="148" t="s">
        <v>389</v>
      </c>
      <c r="W41" s="148"/>
      <c r="X41" s="149"/>
      <c r="Y41" s="146"/>
    </row>
    <row r="42" spans="2:25" ht="15.75" thickBot="1" x14ac:dyDescent="0.3">
      <c r="K42" s="147">
        <v>37</v>
      </c>
      <c r="L42" s="148" t="s">
        <v>389</v>
      </c>
      <c r="M42" s="148"/>
      <c r="N42" s="149">
        <f t="shared" si="0"/>
        <v>416</v>
      </c>
      <c r="O42" s="146">
        <f t="shared" si="0"/>
        <v>832</v>
      </c>
      <c r="P42" s="147">
        <v>37</v>
      </c>
      <c r="Q42" s="148" t="s">
        <v>389</v>
      </c>
      <c r="R42" s="148"/>
      <c r="S42" s="149"/>
      <c r="T42" s="146"/>
      <c r="U42" s="147">
        <v>37</v>
      </c>
      <c r="V42" s="148" t="s">
        <v>389</v>
      </c>
      <c r="W42" s="148"/>
      <c r="X42" s="149"/>
      <c r="Y42" s="146"/>
    </row>
    <row r="43" spans="2:25" ht="15.75" thickBot="1" x14ac:dyDescent="0.3">
      <c r="K43" s="147">
        <v>38</v>
      </c>
      <c r="L43" s="148" t="s">
        <v>389</v>
      </c>
      <c r="M43" s="148"/>
      <c r="N43" s="149">
        <f t="shared" si="0"/>
        <v>416</v>
      </c>
      <c r="O43" s="146">
        <f t="shared" si="0"/>
        <v>832</v>
      </c>
      <c r="P43" s="147">
        <v>38</v>
      </c>
      <c r="Q43" s="148" t="s">
        <v>389</v>
      </c>
      <c r="R43" s="148"/>
      <c r="S43" s="149"/>
      <c r="T43" s="146"/>
      <c r="U43" s="147">
        <v>38</v>
      </c>
      <c r="V43" s="148" t="s">
        <v>389</v>
      </c>
      <c r="W43" s="148"/>
      <c r="X43" s="149"/>
      <c r="Y43" s="146"/>
    </row>
    <row r="44" spans="2:25" ht="15.75" thickBot="1" x14ac:dyDescent="0.3">
      <c r="K44" s="147">
        <v>39</v>
      </c>
      <c r="L44" s="148" t="s">
        <v>389</v>
      </c>
      <c r="M44" s="148"/>
      <c r="N44" s="149">
        <f t="shared" si="0"/>
        <v>416</v>
      </c>
      <c r="O44" s="146">
        <f t="shared" si="0"/>
        <v>832</v>
      </c>
      <c r="P44" s="147">
        <v>39</v>
      </c>
      <c r="Q44" s="148" t="s">
        <v>389</v>
      </c>
      <c r="R44" s="148"/>
      <c r="S44" s="149"/>
      <c r="T44" s="146"/>
      <c r="U44" s="147">
        <v>39</v>
      </c>
      <c r="V44" s="148" t="s">
        <v>389</v>
      </c>
      <c r="W44" s="148"/>
      <c r="X44" s="149"/>
      <c r="Y44" s="146"/>
    </row>
    <row r="45" spans="2:25" ht="15.75" thickBot="1" x14ac:dyDescent="0.3">
      <c r="K45" s="147">
        <v>40</v>
      </c>
      <c r="L45" s="148" t="s">
        <v>389</v>
      </c>
      <c r="M45" s="148"/>
      <c r="N45" s="149">
        <f t="shared" si="0"/>
        <v>416</v>
      </c>
      <c r="O45" s="146">
        <f t="shared" si="0"/>
        <v>832</v>
      </c>
      <c r="P45" s="147">
        <v>40</v>
      </c>
      <c r="Q45" s="148" t="s">
        <v>389</v>
      </c>
      <c r="R45" s="148"/>
      <c r="S45" s="149"/>
      <c r="T45" s="146"/>
      <c r="U45" s="147">
        <v>40</v>
      </c>
      <c r="V45" s="148" t="s">
        <v>389</v>
      </c>
      <c r="W45" s="148"/>
      <c r="X45" s="149"/>
      <c r="Y45" s="146"/>
    </row>
    <row r="46" spans="2:25" ht="15.75" thickBot="1" x14ac:dyDescent="0.3">
      <c r="K46" s="147">
        <v>41</v>
      </c>
      <c r="L46" s="148" t="s">
        <v>389</v>
      </c>
      <c r="M46" s="148"/>
      <c r="N46" s="149">
        <f t="shared" si="0"/>
        <v>416</v>
      </c>
      <c r="O46" s="146">
        <f t="shared" si="0"/>
        <v>832</v>
      </c>
      <c r="P46" s="147">
        <v>41</v>
      </c>
      <c r="Q46" s="148" t="s">
        <v>389</v>
      </c>
      <c r="R46" s="148"/>
      <c r="S46" s="149"/>
      <c r="T46" s="146"/>
      <c r="U46" s="147">
        <v>41</v>
      </c>
      <c r="V46" s="148" t="s">
        <v>389</v>
      </c>
      <c r="W46" s="148"/>
      <c r="X46" s="149"/>
      <c r="Y46" s="146"/>
    </row>
    <row r="47" spans="2:25" ht="15.75" thickBot="1" x14ac:dyDescent="0.3">
      <c r="K47" s="147">
        <v>42</v>
      </c>
      <c r="L47" s="148" t="s">
        <v>390</v>
      </c>
      <c r="M47" s="149">
        <v>40498</v>
      </c>
      <c r="N47" s="149">
        <f t="shared" si="0"/>
        <v>40914</v>
      </c>
      <c r="O47" s="146">
        <f t="shared" si="0"/>
        <v>41330</v>
      </c>
      <c r="P47" s="147">
        <v>42</v>
      </c>
      <c r="Q47" s="148" t="s">
        <v>390</v>
      </c>
      <c r="R47" s="149"/>
      <c r="S47" s="149"/>
      <c r="T47" s="146"/>
      <c r="U47" s="147">
        <v>42</v>
      </c>
      <c r="V47" s="148" t="s">
        <v>390</v>
      </c>
      <c r="W47" s="149"/>
      <c r="X47" s="149"/>
      <c r="Y47" s="146"/>
    </row>
    <row r="48" spans="2:25" ht="15.75" thickBot="1" x14ac:dyDescent="0.3">
      <c r="K48" s="147">
        <v>43</v>
      </c>
      <c r="L48" s="148" t="s">
        <v>390</v>
      </c>
      <c r="M48" s="148"/>
      <c r="N48" s="149">
        <f t="shared" si="0"/>
        <v>416</v>
      </c>
      <c r="O48" s="146">
        <f t="shared" si="0"/>
        <v>832</v>
      </c>
      <c r="P48" s="147">
        <v>43</v>
      </c>
      <c r="Q48" s="148" t="s">
        <v>390</v>
      </c>
      <c r="R48" s="148"/>
      <c r="S48" s="149"/>
      <c r="T48" s="146"/>
      <c r="U48" s="147">
        <v>43</v>
      </c>
      <c r="V48" s="148" t="s">
        <v>390</v>
      </c>
      <c r="W48" s="148"/>
      <c r="X48" s="149"/>
      <c r="Y48" s="146"/>
    </row>
    <row r="49" spans="11:25" ht="15.75" thickBot="1" x14ac:dyDescent="0.3">
      <c r="K49" s="147">
        <v>44</v>
      </c>
      <c r="L49" s="148" t="s">
        <v>390</v>
      </c>
      <c r="M49" s="148"/>
      <c r="N49" s="149">
        <f t="shared" si="0"/>
        <v>416</v>
      </c>
      <c r="O49" s="146">
        <f t="shared" si="0"/>
        <v>832</v>
      </c>
      <c r="P49" s="147">
        <v>44</v>
      </c>
      <c r="Q49" s="148" t="s">
        <v>390</v>
      </c>
      <c r="R49" s="148"/>
      <c r="S49" s="149"/>
      <c r="T49" s="146"/>
      <c r="U49" s="147">
        <v>44</v>
      </c>
      <c r="V49" s="148" t="s">
        <v>390</v>
      </c>
      <c r="W49" s="148"/>
      <c r="X49" s="149"/>
      <c r="Y49" s="146"/>
    </row>
    <row r="50" spans="11:25" ht="15.75" thickBot="1" x14ac:dyDescent="0.3">
      <c r="K50" s="147">
        <v>45</v>
      </c>
      <c r="L50" s="148" t="s">
        <v>390</v>
      </c>
      <c r="M50" s="148"/>
      <c r="N50" s="149">
        <f t="shared" si="0"/>
        <v>416</v>
      </c>
      <c r="O50" s="146">
        <f t="shared" si="0"/>
        <v>832</v>
      </c>
      <c r="P50" s="147">
        <v>45</v>
      </c>
      <c r="Q50" s="148" t="s">
        <v>390</v>
      </c>
      <c r="R50" s="148"/>
      <c r="S50" s="149"/>
      <c r="T50" s="146"/>
      <c r="U50" s="147">
        <v>45</v>
      </c>
      <c r="V50" s="148" t="s">
        <v>390</v>
      </c>
      <c r="W50" s="148"/>
      <c r="X50" s="149"/>
      <c r="Y50" s="146"/>
    </row>
    <row r="51" spans="11:25" ht="15.75" thickBot="1" x14ac:dyDescent="0.3">
      <c r="K51" s="147">
        <v>46</v>
      </c>
      <c r="L51" s="148" t="s">
        <v>390</v>
      </c>
      <c r="M51" s="148"/>
      <c r="N51" s="149">
        <f t="shared" si="0"/>
        <v>416</v>
      </c>
      <c r="O51" s="146">
        <f t="shared" si="0"/>
        <v>832</v>
      </c>
      <c r="P51" s="147">
        <v>46</v>
      </c>
      <c r="Q51" s="148" t="s">
        <v>390</v>
      </c>
      <c r="R51" s="149">
        <v>40857</v>
      </c>
      <c r="S51" s="149"/>
      <c r="T51" s="146"/>
      <c r="U51" s="147">
        <v>46</v>
      </c>
      <c r="V51" s="148" t="s">
        <v>390</v>
      </c>
      <c r="W51" s="149"/>
      <c r="X51" s="149"/>
      <c r="Y51" s="146"/>
    </row>
    <row r="52" spans="11:25" ht="15.75" thickBot="1" x14ac:dyDescent="0.3">
      <c r="K52" s="147">
        <v>47</v>
      </c>
      <c r="L52" s="148" t="s">
        <v>391</v>
      </c>
      <c r="M52" s="148"/>
      <c r="N52" s="149">
        <f t="shared" si="0"/>
        <v>416</v>
      </c>
      <c r="O52" s="146">
        <f t="shared" si="0"/>
        <v>832</v>
      </c>
      <c r="P52" s="147">
        <v>47</v>
      </c>
      <c r="Q52" s="148" t="s">
        <v>391</v>
      </c>
      <c r="R52" s="148"/>
      <c r="S52" s="149"/>
      <c r="T52" s="146"/>
      <c r="U52" s="147">
        <v>47</v>
      </c>
      <c r="V52" s="148" t="s">
        <v>391</v>
      </c>
      <c r="W52" s="148"/>
      <c r="X52" s="149"/>
      <c r="Y52" s="146"/>
    </row>
    <row r="53" spans="11:25" ht="15.75" thickBot="1" x14ac:dyDescent="0.3">
      <c r="K53" s="147">
        <v>48</v>
      </c>
      <c r="L53" s="148" t="s">
        <v>392</v>
      </c>
      <c r="M53" s="148"/>
      <c r="N53" s="149">
        <f>M53+416</f>
        <v>416</v>
      </c>
      <c r="O53" s="146">
        <f>N53+416</f>
        <v>832</v>
      </c>
      <c r="P53" s="147">
        <v>48</v>
      </c>
      <c r="Q53" s="148" t="s">
        <v>392</v>
      </c>
      <c r="R53" s="149">
        <v>40857</v>
      </c>
      <c r="S53" s="149"/>
      <c r="T53" s="146"/>
      <c r="U53" s="147">
        <v>48</v>
      </c>
      <c r="V53" s="148" t="s">
        <v>392</v>
      </c>
      <c r="W53" s="149"/>
      <c r="X53" s="149"/>
      <c r="Y53" s="146"/>
    </row>
    <row r="54" spans="11:25" ht="15.75" thickBot="1" x14ac:dyDescent="0.3">
      <c r="K54" s="155">
        <v>49</v>
      </c>
      <c r="L54" s="156" t="s">
        <v>392</v>
      </c>
      <c r="M54" s="156"/>
      <c r="N54" s="157">
        <f>M54+416</f>
        <v>416</v>
      </c>
      <c r="O54" s="146">
        <f>N54+416</f>
        <v>832</v>
      </c>
      <c r="P54" s="155">
        <v>49</v>
      </c>
      <c r="Q54" s="156" t="s">
        <v>392</v>
      </c>
      <c r="R54" s="156"/>
      <c r="S54" s="157"/>
      <c r="T54" s="146"/>
      <c r="U54" s="155">
        <v>49</v>
      </c>
      <c r="V54" s="156" t="s">
        <v>392</v>
      </c>
      <c r="W54" s="156"/>
      <c r="X54" s="157"/>
      <c r="Y54" s="146"/>
    </row>
  </sheetData>
  <mergeCells count="3">
    <mergeCell ref="E1:K2"/>
    <mergeCell ref="D8:D10"/>
    <mergeCell ref="D19:H19"/>
  </mergeCells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K81"/>
  <sheetViews>
    <sheetView topLeftCell="A41" workbookViewId="0">
      <selection activeCell="I56" sqref="I56"/>
    </sheetView>
  </sheetViews>
  <sheetFormatPr baseColWidth="10" defaultRowHeight="15" x14ac:dyDescent="0.25"/>
  <cols>
    <col min="1" max="1" width="12.7109375" customWidth="1"/>
    <col min="2" max="2" width="21.28515625" customWidth="1"/>
    <col min="3" max="3" width="34.85546875" customWidth="1"/>
    <col min="4" max="4" width="18" customWidth="1"/>
    <col min="5" max="5" width="26" customWidth="1"/>
    <col min="6" max="6" width="22.5703125" customWidth="1"/>
    <col min="7" max="7" width="18.5703125" customWidth="1"/>
    <col min="8" max="8" width="19.28515625" customWidth="1"/>
  </cols>
  <sheetData>
    <row r="4" spans="2:11" ht="23.25" x14ac:dyDescent="0.35">
      <c r="D4" s="816" t="s">
        <v>789</v>
      </c>
      <c r="E4" s="816"/>
    </row>
    <row r="6" spans="2:11" ht="15.75" thickBot="1" x14ac:dyDescent="0.3">
      <c r="J6" s="817"/>
      <c r="K6" s="818"/>
    </row>
    <row r="7" spans="2:11" x14ac:dyDescent="0.25">
      <c r="B7" s="734" t="s">
        <v>791</v>
      </c>
      <c r="C7" s="734" t="s">
        <v>16</v>
      </c>
      <c r="D7" s="734" t="s">
        <v>771</v>
      </c>
      <c r="E7" s="734" t="s">
        <v>769</v>
      </c>
      <c r="F7" s="734" t="s">
        <v>774</v>
      </c>
      <c r="G7" s="734" t="s">
        <v>782</v>
      </c>
    </row>
    <row r="8" spans="2:11" x14ac:dyDescent="0.25">
      <c r="B8" s="735"/>
      <c r="C8" s="735"/>
      <c r="D8" s="735"/>
      <c r="E8" s="735"/>
      <c r="F8" s="735"/>
      <c r="G8" s="735"/>
    </row>
    <row r="9" spans="2:11" ht="15.75" thickBot="1" x14ac:dyDescent="0.3">
      <c r="B9" s="736"/>
      <c r="C9" s="736"/>
      <c r="D9" s="736"/>
      <c r="E9" s="736"/>
      <c r="F9" s="736"/>
      <c r="G9" s="736"/>
    </row>
    <row r="10" spans="2:11" x14ac:dyDescent="0.25">
      <c r="B10" s="25" t="s">
        <v>791</v>
      </c>
      <c r="C10" s="56" t="s">
        <v>770</v>
      </c>
      <c r="D10" s="327">
        <v>2</v>
      </c>
      <c r="E10" s="18" t="s">
        <v>773</v>
      </c>
      <c r="F10" s="18" t="s">
        <v>775</v>
      </c>
      <c r="G10" s="329">
        <v>24</v>
      </c>
    </row>
    <row r="11" spans="2:11" x14ac:dyDescent="0.25">
      <c r="B11" s="26"/>
      <c r="C11" s="56" t="s">
        <v>772</v>
      </c>
      <c r="D11" s="327">
        <v>2</v>
      </c>
      <c r="E11" s="5" t="s">
        <v>776</v>
      </c>
      <c r="F11" s="5" t="s">
        <v>777</v>
      </c>
      <c r="G11" s="330">
        <v>24</v>
      </c>
    </row>
    <row r="12" spans="2:11" x14ac:dyDescent="0.25">
      <c r="B12" s="26"/>
      <c r="C12" s="56" t="s">
        <v>25</v>
      </c>
      <c r="D12" s="327">
        <v>1</v>
      </c>
      <c r="E12" s="5" t="s">
        <v>779</v>
      </c>
      <c r="F12" s="5" t="s">
        <v>780</v>
      </c>
      <c r="G12" s="330">
        <v>24</v>
      </c>
    </row>
    <row r="13" spans="2:11" x14ac:dyDescent="0.25">
      <c r="B13" s="26"/>
      <c r="C13" s="56" t="s">
        <v>4</v>
      </c>
      <c r="D13" s="327">
        <v>1</v>
      </c>
      <c r="E13" s="5"/>
      <c r="F13" s="5" t="s">
        <v>788</v>
      </c>
      <c r="G13" s="330">
        <v>24</v>
      </c>
    </row>
    <row r="14" spans="2:11" x14ac:dyDescent="0.25">
      <c r="B14" s="26"/>
      <c r="C14" s="56" t="s">
        <v>26</v>
      </c>
      <c r="D14" s="327">
        <v>1</v>
      </c>
      <c r="E14" s="5" t="s">
        <v>843</v>
      </c>
      <c r="F14" s="5" t="s">
        <v>781</v>
      </c>
      <c r="G14" s="330">
        <v>10</v>
      </c>
    </row>
    <row r="15" spans="2:11" x14ac:dyDescent="0.25">
      <c r="B15" s="26"/>
      <c r="C15" s="56" t="s">
        <v>7</v>
      </c>
      <c r="D15" s="327">
        <v>1</v>
      </c>
      <c r="E15" s="5"/>
      <c r="F15" s="5" t="s">
        <v>783</v>
      </c>
      <c r="G15" s="330">
        <v>8</v>
      </c>
    </row>
    <row r="16" spans="2:11" x14ac:dyDescent="0.25">
      <c r="B16" s="26"/>
      <c r="C16" s="56" t="s">
        <v>8</v>
      </c>
      <c r="D16" s="327">
        <v>1</v>
      </c>
      <c r="E16" s="5" t="s">
        <v>805</v>
      </c>
      <c r="F16" s="5" t="s">
        <v>783</v>
      </c>
      <c r="G16" s="330">
        <v>5</v>
      </c>
    </row>
    <row r="17" spans="2:7" x14ac:dyDescent="0.25">
      <c r="B17" s="26"/>
      <c r="C17" s="57" t="s">
        <v>130</v>
      </c>
      <c r="D17" s="327">
        <v>1</v>
      </c>
      <c r="E17" s="5"/>
      <c r="F17" s="5" t="s">
        <v>790</v>
      </c>
      <c r="G17" s="330">
        <v>8</v>
      </c>
    </row>
    <row r="18" spans="2:7" x14ac:dyDescent="0.25">
      <c r="B18" s="26"/>
      <c r="C18" s="56" t="s">
        <v>787</v>
      </c>
      <c r="D18" s="327">
        <v>1</v>
      </c>
      <c r="E18" s="5"/>
      <c r="F18" s="5" t="s">
        <v>777</v>
      </c>
      <c r="G18" s="330">
        <v>24</v>
      </c>
    </row>
    <row r="19" spans="2:7" x14ac:dyDescent="0.25">
      <c r="B19" s="26"/>
      <c r="C19" s="56" t="s">
        <v>778</v>
      </c>
      <c r="D19" s="328">
        <v>1</v>
      </c>
      <c r="E19" s="5" t="s">
        <v>786</v>
      </c>
      <c r="F19" s="5" t="s">
        <v>785</v>
      </c>
      <c r="G19" s="330">
        <v>24</v>
      </c>
    </row>
    <row r="20" spans="2:7" x14ac:dyDescent="0.25">
      <c r="B20" s="26"/>
      <c r="C20" s="57" t="s">
        <v>128</v>
      </c>
      <c r="D20" s="327">
        <v>9</v>
      </c>
      <c r="E20" s="5"/>
      <c r="F20" s="5" t="s">
        <v>784</v>
      </c>
      <c r="G20" s="330">
        <v>24</v>
      </c>
    </row>
    <row r="24" spans="2:7" ht="23.25" x14ac:dyDescent="0.35">
      <c r="D24" s="816" t="s">
        <v>813</v>
      </c>
      <c r="E24" s="816"/>
    </row>
    <row r="25" spans="2:7" ht="15.75" thickBot="1" x14ac:dyDescent="0.3"/>
    <row r="26" spans="2:7" x14ac:dyDescent="0.25">
      <c r="B26" s="734" t="s">
        <v>457</v>
      </c>
      <c r="C26" s="734" t="s">
        <v>16</v>
      </c>
      <c r="D26" s="734" t="s">
        <v>771</v>
      </c>
      <c r="E26" s="734" t="s">
        <v>769</v>
      </c>
      <c r="F26" s="734" t="s">
        <v>774</v>
      </c>
      <c r="G26" s="734" t="s">
        <v>782</v>
      </c>
    </row>
    <row r="27" spans="2:7" x14ac:dyDescent="0.25">
      <c r="B27" s="735"/>
      <c r="C27" s="735"/>
      <c r="D27" s="735"/>
      <c r="E27" s="735"/>
      <c r="F27" s="735"/>
      <c r="G27" s="735"/>
    </row>
    <row r="28" spans="2:7" ht="15.75" thickBot="1" x14ac:dyDescent="0.3">
      <c r="B28" s="736"/>
      <c r="C28" s="736"/>
      <c r="D28" s="736"/>
      <c r="E28" s="736"/>
      <c r="F28" s="736"/>
      <c r="G28" s="736"/>
    </row>
    <row r="29" spans="2:7" x14ac:dyDescent="0.25">
      <c r="B29" s="25" t="s">
        <v>457</v>
      </c>
      <c r="C29" s="68" t="s">
        <v>792</v>
      </c>
      <c r="D29" s="327">
        <v>6</v>
      </c>
      <c r="E29" s="18" t="s">
        <v>796</v>
      </c>
      <c r="F29" s="18" t="s">
        <v>793</v>
      </c>
      <c r="G29" s="329">
        <v>24</v>
      </c>
    </row>
    <row r="30" spans="2:7" x14ac:dyDescent="0.25">
      <c r="B30" s="26"/>
      <c r="C30" s="69" t="s">
        <v>797</v>
      </c>
      <c r="D30" s="327">
        <v>4</v>
      </c>
      <c r="E30" s="5" t="s">
        <v>795</v>
      </c>
      <c r="F30" s="5" t="s">
        <v>794</v>
      </c>
      <c r="G30" s="330">
        <v>24</v>
      </c>
    </row>
    <row r="31" spans="2:7" x14ac:dyDescent="0.25">
      <c r="B31" s="26"/>
      <c r="C31" s="69" t="s">
        <v>798</v>
      </c>
      <c r="D31" s="327">
        <v>2</v>
      </c>
      <c r="E31" s="5"/>
      <c r="F31" s="5" t="s">
        <v>780</v>
      </c>
      <c r="G31" s="330">
        <v>24</v>
      </c>
    </row>
    <row r="32" spans="2:7" x14ac:dyDescent="0.25">
      <c r="B32" s="26"/>
      <c r="C32" s="69" t="s">
        <v>147</v>
      </c>
      <c r="D32" s="327">
        <v>1</v>
      </c>
      <c r="E32" s="5" t="s">
        <v>800</v>
      </c>
      <c r="F32" s="5" t="s">
        <v>799</v>
      </c>
      <c r="G32" s="330">
        <v>8</v>
      </c>
    </row>
    <row r="33" spans="2:7" x14ac:dyDescent="0.25">
      <c r="B33" s="26"/>
      <c r="C33" s="69" t="s">
        <v>152</v>
      </c>
      <c r="D33" s="327">
        <v>1</v>
      </c>
      <c r="E33" s="5" t="s">
        <v>801</v>
      </c>
      <c r="F33" s="5" t="s">
        <v>802</v>
      </c>
      <c r="G33" s="330">
        <v>10</v>
      </c>
    </row>
    <row r="34" spans="2:7" x14ac:dyDescent="0.25">
      <c r="B34" s="26"/>
      <c r="C34" s="69" t="s">
        <v>304</v>
      </c>
      <c r="D34" s="327">
        <v>1</v>
      </c>
      <c r="E34" s="5" t="s">
        <v>803</v>
      </c>
      <c r="F34" s="5" t="s">
        <v>830</v>
      </c>
      <c r="G34" s="330">
        <v>24</v>
      </c>
    </row>
    <row r="35" spans="2:7" x14ac:dyDescent="0.25">
      <c r="B35" s="26"/>
      <c r="C35" s="69" t="s">
        <v>305</v>
      </c>
      <c r="D35" s="327">
        <v>1</v>
      </c>
      <c r="E35" s="5" t="s">
        <v>804</v>
      </c>
      <c r="F35" s="5" t="s">
        <v>831</v>
      </c>
      <c r="G35" s="330">
        <v>24</v>
      </c>
    </row>
    <row r="36" spans="2:7" x14ac:dyDescent="0.25">
      <c r="B36" s="26"/>
      <c r="C36" s="69" t="s">
        <v>153</v>
      </c>
      <c r="D36" s="327">
        <v>2</v>
      </c>
      <c r="E36" s="5" t="s">
        <v>805</v>
      </c>
      <c r="F36" s="5" t="s">
        <v>783</v>
      </c>
      <c r="G36" s="330">
        <v>5</v>
      </c>
    </row>
    <row r="37" spans="2:7" x14ac:dyDescent="0.25">
      <c r="B37" s="26"/>
      <c r="C37" s="69" t="s">
        <v>155</v>
      </c>
      <c r="D37" s="327">
        <v>1</v>
      </c>
      <c r="E37" s="5" t="s">
        <v>825</v>
      </c>
      <c r="F37" s="5" t="s">
        <v>806</v>
      </c>
      <c r="G37" s="330">
        <v>5</v>
      </c>
    </row>
    <row r="38" spans="2:7" x14ac:dyDescent="0.25">
      <c r="B38" s="26"/>
      <c r="C38" s="69" t="s">
        <v>176</v>
      </c>
      <c r="D38" s="327">
        <v>1</v>
      </c>
      <c r="E38" s="5" t="s">
        <v>808</v>
      </c>
      <c r="F38" s="5" t="s">
        <v>806</v>
      </c>
      <c r="G38" s="330">
        <v>24</v>
      </c>
    </row>
    <row r="39" spans="2:7" x14ac:dyDescent="0.25">
      <c r="B39" s="26"/>
      <c r="C39" s="69" t="s">
        <v>177</v>
      </c>
      <c r="D39" s="327">
        <v>1</v>
      </c>
      <c r="E39" s="5" t="s">
        <v>809</v>
      </c>
      <c r="F39" s="5" t="s">
        <v>807</v>
      </c>
      <c r="G39" s="330">
        <v>24</v>
      </c>
    </row>
    <row r="40" spans="2:7" x14ac:dyDescent="0.25">
      <c r="B40" s="26"/>
      <c r="C40" s="331" t="s">
        <v>810</v>
      </c>
      <c r="D40" s="327">
        <v>1</v>
      </c>
      <c r="E40" s="5" t="s">
        <v>811</v>
      </c>
      <c r="F40" s="5" t="s">
        <v>812</v>
      </c>
      <c r="G40" s="330">
        <v>5</v>
      </c>
    </row>
    <row r="44" spans="2:7" ht="23.25" x14ac:dyDescent="0.35">
      <c r="D44" s="816" t="s">
        <v>201</v>
      </c>
      <c r="E44" s="816"/>
    </row>
    <row r="45" spans="2:7" ht="15.75" thickBot="1" x14ac:dyDescent="0.3"/>
    <row r="46" spans="2:7" x14ac:dyDescent="0.25">
      <c r="B46" s="734" t="s">
        <v>201</v>
      </c>
      <c r="C46" s="734" t="s">
        <v>16</v>
      </c>
      <c r="D46" s="734" t="s">
        <v>771</v>
      </c>
      <c r="E46" s="734" t="s">
        <v>769</v>
      </c>
      <c r="F46" s="734" t="s">
        <v>774</v>
      </c>
      <c r="G46" s="734" t="s">
        <v>782</v>
      </c>
    </row>
    <row r="47" spans="2:7" x14ac:dyDescent="0.25">
      <c r="B47" s="735"/>
      <c r="C47" s="735"/>
      <c r="D47" s="735"/>
      <c r="E47" s="735"/>
      <c r="F47" s="735"/>
      <c r="G47" s="735"/>
    </row>
    <row r="48" spans="2:7" ht="15.75" thickBot="1" x14ac:dyDescent="0.3">
      <c r="B48" s="736"/>
      <c r="C48" s="736"/>
      <c r="D48" s="736"/>
      <c r="E48" s="736"/>
      <c r="F48" s="736"/>
      <c r="G48" s="736"/>
    </row>
    <row r="49" spans="2:7" x14ac:dyDescent="0.25">
      <c r="B49" s="25" t="s">
        <v>107</v>
      </c>
      <c r="C49" s="68" t="s">
        <v>792</v>
      </c>
      <c r="D49" s="329">
        <v>20</v>
      </c>
      <c r="E49" s="18" t="s">
        <v>815</v>
      </c>
      <c r="F49" s="18" t="s">
        <v>817</v>
      </c>
      <c r="G49" s="329">
        <v>24</v>
      </c>
    </row>
    <row r="50" spans="2:7" x14ac:dyDescent="0.25">
      <c r="B50" s="26"/>
      <c r="C50" s="69" t="s">
        <v>797</v>
      </c>
      <c r="D50" s="327">
        <v>22</v>
      </c>
      <c r="E50" s="5" t="s">
        <v>814</v>
      </c>
      <c r="F50" s="5" t="s">
        <v>816</v>
      </c>
      <c r="G50" s="330">
        <v>24</v>
      </c>
    </row>
    <row r="51" spans="2:7" x14ac:dyDescent="0.25">
      <c r="B51" s="26"/>
      <c r="C51" s="75" t="s">
        <v>818</v>
      </c>
      <c r="D51" s="327">
        <v>2</v>
      </c>
      <c r="E51" s="5" t="s">
        <v>819</v>
      </c>
      <c r="F51" s="5" t="s">
        <v>799</v>
      </c>
      <c r="G51" s="330">
        <v>24</v>
      </c>
    </row>
    <row r="52" spans="2:7" x14ac:dyDescent="0.25">
      <c r="B52" s="26"/>
      <c r="C52" s="77" t="s">
        <v>829</v>
      </c>
      <c r="D52" s="327">
        <v>1</v>
      </c>
      <c r="E52" s="5" t="s">
        <v>820</v>
      </c>
      <c r="F52" s="5" t="s">
        <v>794</v>
      </c>
      <c r="G52" s="330">
        <v>8</v>
      </c>
    </row>
    <row r="53" spans="2:7" x14ac:dyDescent="0.25">
      <c r="B53" s="26"/>
      <c r="C53" s="77" t="s">
        <v>828</v>
      </c>
      <c r="D53" s="327">
        <v>1</v>
      </c>
      <c r="E53" s="5" t="s">
        <v>801</v>
      </c>
      <c r="F53" s="5" t="s">
        <v>802</v>
      </c>
      <c r="G53" s="330">
        <v>10</v>
      </c>
    </row>
    <row r="54" spans="2:7" x14ac:dyDescent="0.25">
      <c r="B54" s="26"/>
      <c r="C54" s="77" t="s">
        <v>437</v>
      </c>
      <c r="D54" s="327">
        <v>1</v>
      </c>
      <c r="E54" s="5" t="s">
        <v>826</v>
      </c>
      <c r="F54" s="5" t="s">
        <v>777</v>
      </c>
      <c r="G54" s="330">
        <v>24</v>
      </c>
    </row>
    <row r="55" spans="2:7" x14ac:dyDescent="0.25">
      <c r="B55" s="26"/>
      <c r="C55" s="77" t="s">
        <v>827</v>
      </c>
      <c r="D55" s="327">
        <v>1</v>
      </c>
      <c r="E55" s="5" t="s">
        <v>823</v>
      </c>
      <c r="F55" s="5" t="s">
        <v>822</v>
      </c>
      <c r="G55" s="330">
        <v>24</v>
      </c>
    </row>
    <row r="56" spans="2:7" x14ac:dyDescent="0.25">
      <c r="B56" s="26"/>
      <c r="C56" s="77" t="s">
        <v>177</v>
      </c>
      <c r="D56" s="327">
        <v>1</v>
      </c>
      <c r="E56" s="5" t="s">
        <v>824</v>
      </c>
      <c r="F56" s="5" t="s">
        <v>807</v>
      </c>
      <c r="G56" s="330">
        <v>20</v>
      </c>
    </row>
    <row r="61" spans="2:7" ht="23.25" x14ac:dyDescent="0.35">
      <c r="D61" s="816" t="s">
        <v>839</v>
      </c>
      <c r="E61" s="816"/>
    </row>
    <row r="62" spans="2:7" ht="15.75" thickBot="1" x14ac:dyDescent="0.3"/>
    <row r="63" spans="2:7" x14ac:dyDescent="0.25">
      <c r="B63" s="734"/>
      <c r="C63" s="734" t="s">
        <v>16</v>
      </c>
      <c r="D63" s="734" t="s">
        <v>771</v>
      </c>
      <c r="E63" s="734" t="s">
        <v>769</v>
      </c>
      <c r="F63" s="734" t="s">
        <v>774</v>
      </c>
      <c r="G63" s="734" t="s">
        <v>782</v>
      </c>
    </row>
    <row r="64" spans="2:7" x14ac:dyDescent="0.25">
      <c r="B64" s="735"/>
      <c r="C64" s="735"/>
      <c r="D64" s="735"/>
      <c r="E64" s="735"/>
      <c r="F64" s="735"/>
      <c r="G64" s="735"/>
    </row>
    <row r="65" spans="2:8" ht="15.75" thickBot="1" x14ac:dyDescent="0.3">
      <c r="B65" s="736"/>
      <c r="C65" s="736"/>
      <c r="D65" s="736"/>
      <c r="E65" s="736"/>
      <c r="F65" s="736"/>
      <c r="G65" s="736"/>
    </row>
    <row r="66" spans="2:8" x14ac:dyDescent="0.25">
      <c r="B66" s="26"/>
      <c r="C66" s="85" t="s">
        <v>832</v>
      </c>
      <c r="D66" s="327">
        <v>2</v>
      </c>
      <c r="E66" s="5" t="s">
        <v>836</v>
      </c>
      <c r="F66" s="5" t="s">
        <v>837</v>
      </c>
      <c r="G66" s="330">
        <v>24</v>
      </c>
    </row>
    <row r="67" spans="2:8" x14ac:dyDescent="0.25">
      <c r="B67" s="26" t="s">
        <v>849</v>
      </c>
      <c r="C67" s="85" t="s">
        <v>833</v>
      </c>
      <c r="D67" s="327">
        <v>4</v>
      </c>
      <c r="E67" s="5" t="s">
        <v>842</v>
      </c>
      <c r="F67" s="5" t="s">
        <v>838</v>
      </c>
      <c r="G67" s="330">
        <v>10</v>
      </c>
    </row>
    <row r="68" spans="2:8" x14ac:dyDescent="0.25">
      <c r="B68" s="26"/>
      <c r="C68" s="85" t="s">
        <v>834</v>
      </c>
      <c r="D68" s="327">
        <v>1</v>
      </c>
      <c r="E68" s="5"/>
      <c r="F68" s="5" t="s">
        <v>850</v>
      </c>
      <c r="G68" s="330">
        <v>10</v>
      </c>
    </row>
    <row r="69" spans="2:8" x14ac:dyDescent="0.25">
      <c r="B69" s="26" t="s">
        <v>849</v>
      </c>
      <c r="C69" s="334" t="s">
        <v>466</v>
      </c>
      <c r="D69" s="327">
        <v>1</v>
      </c>
      <c r="E69" s="5" t="s">
        <v>840</v>
      </c>
      <c r="F69" s="5" t="s">
        <v>799</v>
      </c>
      <c r="G69" s="330">
        <v>10</v>
      </c>
    </row>
    <row r="70" spans="2:8" x14ac:dyDescent="0.25">
      <c r="B70" s="26" t="s">
        <v>849</v>
      </c>
      <c r="C70" s="334" t="s">
        <v>467</v>
      </c>
      <c r="D70" s="327">
        <v>1</v>
      </c>
      <c r="E70" s="5" t="s">
        <v>842</v>
      </c>
      <c r="F70" s="5" t="s">
        <v>838</v>
      </c>
      <c r="G70" s="330">
        <v>10</v>
      </c>
    </row>
    <row r="71" spans="2:8" ht="15.75" thickBot="1" x14ac:dyDescent="0.3">
      <c r="B71" s="335"/>
      <c r="C71" s="336" t="s">
        <v>835</v>
      </c>
      <c r="D71" s="337">
        <v>3</v>
      </c>
      <c r="E71" s="9" t="s">
        <v>841</v>
      </c>
      <c r="F71" s="9" t="s">
        <v>821</v>
      </c>
      <c r="G71" s="338"/>
    </row>
    <row r="73" spans="2:8" x14ac:dyDescent="0.25">
      <c r="B73" s="332"/>
      <c r="C73" s="333"/>
      <c r="D73" s="332"/>
    </row>
    <row r="76" spans="2:8" ht="23.25" x14ac:dyDescent="0.35">
      <c r="D76" s="816" t="s">
        <v>847</v>
      </c>
      <c r="E76" s="816"/>
    </row>
    <row r="77" spans="2:8" ht="15.75" thickBot="1" x14ac:dyDescent="0.3"/>
    <row r="78" spans="2:8" x14ac:dyDescent="0.25">
      <c r="B78" s="341" t="s">
        <v>791</v>
      </c>
      <c r="C78" s="341" t="s">
        <v>108</v>
      </c>
      <c r="D78" s="341" t="s">
        <v>201</v>
      </c>
      <c r="E78" s="341" t="s">
        <v>844</v>
      </c>
      <c r="F78" s="341" t="s">
        <v>128</v>
      </c>
      <c r="G78" s="341" t="s">
        <v>845</v>
      </c>
      <c r="H78" s="342" t="s">
        <v>846</v>
      </c>
    </row>
    <row r="79" spans="2:8" ht="51.75" customHeight="1" thickBot="1" x14ac:dyDescent="0.3">
      <c r="B79" s="340">
        <v>41.35</v>
      </c>
      <c r="C79" s="340">
        <v>189.19199999999998</v>
      </c>
      <c r="D79" s="340">
        <v>288.67</v>
      </c>
      <c r="E79" s="340">
        <v>139.19999999999999</v>
      </c>
      <c r="F79" s="340">
        <v>48.214999999999996</v>
      </c>
      <c r="G79" s="340">
        <v>20.200000000000003</v>
      </c>
      <c r="H79" s="340" t="s">
        <v>848</v>
      </c>
    </row>
    <row r="80" spans="2:8" x14ac:dyDescent="0.25">
      <c r="B80" s="339"/>
      <c r="C80" s="339"/>
      <c r="D80" s="339"/>
      <c r="E80" s="339"/>
      <c r="F80" s="339"/>
      <c r="G80" s="339"/>
      <c r="H80" s="325"/>
    </row>
    <row r="81" spans="2:4" x14ac:dyDescent="0.25">
      <c r="B81">
        <v>40</v>
      </c>
      <c r="C81">
        <v>120</v>
      </c>
      <c r="D81">
        <v>200</v>
      </c>
    </row>
  </sheetData>
  <mergeCells count="30">
    <mergeCell ref="B7:B9"/>
    <mergeCell ref="C7:C9"/>
    <mergeCell ref="D7:D9"/>
    <mergeCell ref="E7:E9"/>
    <mergeCell ref="F7:F9"/>
    <mergeCell ref="J6:K6"/>
    <mergeCell ref="G7:G9"/>
    <mergeCell ref="D4:E4"/>
    <mergeCell ref="C26:C28"/>
    <mergeCell ref="D26:D28"/>
    <mergeCell ref="E26:E28"/>
    <mergeCell ref="F26:F28"/>
    <mergeCell ref="G26:G28"/>
    <mergeCell ref="B26:B28"/>
    <mergeCell ref="D24:E24"/>
    <mergeCell ref="B46:B48"/>
    <mergeCell ref="C46:C48"/>
    <mergeCell ref="D46:D48"/>
    <mergeCell ref="E46:E48"/>
    <mergeCell ref="B63:B65"/>
    <mergeCell ref="C63:C65"/>
    <mergeCell ref="D63:D65"/>
    <mergeCell ref="E63:E65"/>
    <mergeCell ref="F63:F65"/>
    <mergeCell ref="D61:E61"/>
    <mergeCell ref="D76:E76"/>
    <mergeCell ref="F46:F48"/>
    <mergeCell ref="G46:G48"/>
    <mergeCell ref="D44:E44"/>
    <mergeCell ref="G63:G65"/>
  </mergeCells>
  <pageMargins left="0.70866141732283472" right="0.70866141732283472" top="0.74803149606299213" bottom="0.74803149606299213" header="0.31496062992125984" footer="0.31496062992125984"/>
  <pageSetup scale="43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T47"/>
  <sheetViews>
    <sheetView topLeftCell="Q25" workbookViewId="0">
      <selection activeCell="Q42" sqref="Q42"/>
    </sheetView>
  </sheetViews>
  <sheetFormatPr baseColWidth="10" defaultRowHeight="15" x14ac:dyDescent="0.25"/>
  <cols>
    <col min="9" max="9" width="11.42578125" customWidth="1"/>
    <col min="10" max="10" width="16.28515625" customWidth="1"/>
    <col min="11" max="11" width="11.42578125" customWidth="1"/>
    <col min="13" max="13" width="39" customWidth="1"/>
    <col min="15" max="15" width="18" customWidth="1"/>
    <col min="16" max="16" width="21.5703125" customWidth="1"/>
    <col min="17" max="17" width="41.28515625" customWidth="1"/>
    <col min="19" max="19" width="38.42578125" customWidth="1"/>
    <col min="20" max="20" width="75.85546875" customWidth="1"/>
  </cols>
  <sheetData>
    <row r="1" spans="4:20" x14ac:dyDescent="0.25">
      <c r="D1" s="814" t="s">
        <v>890</v>
      </c>
      <c r="E1" s="814"/>
      <c r="F1" s="814"/>
      <c r="G1" s="814"/>
      <c r="H1" s="814"/>
      <c r="I1" s="814"/>
      <c r="J1" s="814"/>
      <c r="K1" s="814"/>
    </row>
    <row r="2" spans="4:20" x14ac:dyDescent="0.25">
      <c r="D2" s="814"/>
      <c r="E2" s="814"/>
      <c r="F2" s="814"/>
      <c r="G2" s="814"/>
      <c r="H2" s="814"/>
      <c r="I2" s="814"/>
      <c r="J2" s="814"/>
      <c r="K2" s="814"/>
    </row>
    <row r="6" spans="4:20" x14ac:dyDescent="0.25">
      <c r="I6" s="354" t="s">
        <v>891</v>
      </c>
      <c r="J6" s="354" t="s">
        <v>892</v>
      </c>
      <c r="K6" s="553" t="s">
        <v>1346</v>
      </c>
      <c r="L6" s="635" t="s">
        <v>894</v>
      </c>
      <c r="M6" s="626" t="s">
        <v>895</v>
      </c>
      <c r="N6" s="636" t="s">
        <v>904</v>
      </c>
      <c r="O6" s="626" t="s">
        <v>1346</v>
      </c>
      <c r="P6" s="629" t="s">
        <v>894</v>
      </c>
      <c r="Q6" s="626" t="s">
        <v>895</v>
      </c>
      <c r="R6" s="626" t="s">
        <v>1347</v>
      </c>
      <c r="S6" s="634" t="s">
        <v>894</v>
      </c>
      <c r="T6" s="633" t="s">
        <v>895</v>
      </c>
    </row>
    <row r="7" spans="4:20" ht="15.75" thickBot="1" x14ac:dyDescent="0.3">
      <c r="I7" s="628"/>
      <c r="J7" s="623"/>
      <c r="K7" s="627"/>
      <c r="L7" s="630"/>
      <c r="M7" s="627"/>
      <c r="N7" s="623"/>
      <c r="O7" s="627"/>
      <c r="P7" s="630"/>
      <c r="Q7" s="627"/>
      <c r="R7" s="623"/>
      <c r="S7" s="631"/>
      <c r="T7" s="632"/>
    </row>
    <row r="8" spans="4:20" ht="15.75" thickBot="1" x14ac:dyDescent="0.3">
      <c r="I8" s="358">
        <v>1</v>
      </c>
      <c r="J8" s="647" t="s">
        <v>896</v>
      </c>
      <c r="K8" s="359">
        <v>41743</v>
      </c>
      <c r="L8" s="647" t="s">
        <v>392</v>
      </c>
      <c r="M8" s="358" t="s">
        <v>1266</v>
      </c>
      <c r="N8" s="649"/>
      <c r="O8" s="651"/>
      <c r="P8" s="649"/>
      <c r="Q8" s="651"/>
      <c r="R8" s="663">
        <v>42101</v>
      </c>
      <c r="S8" s="651" t="s">
        <v>392</v>
      </c>
      <c r="T8" s="652" t="s">
        <v>1352</v>
      </c>
    </row>
    <row r="9" spans="4:20" ht="15.75" thickBot="1" x14ac:dyDescent="0.3">
      <c r="I9" s="540"/>
      <c r="J9" s="653" t="s">
        <v>897</v>
      </c>
      <c r="K9" s="357">
        <v>41743</v>
      </c>
      <c r="L9" s="653" t="s">
        <v>392</v>
      </c>
      <c r="M9" s="540" t="s">
        <v>1266</v>
      </c>
      <c r="N9" s="653"/>
      <c r="O9" s="657"/>
      <c r="P9" s="655"/>
      <c r="Q9" s="657"/>
      <c r="R9" s="662">
        <v>42101</v>
      </c>
      <c r="S9" s="657" t="s">
        <v>392</v>
      </c>
      <c r="T9" s="652" t="s">
        <v>1352</v>
      </c>
    </row>
    <row r="10" spans="4:20" ht="15.75" thickBot="1" x14ac:dyDescent="0.3">
      <c r="I10" s="355">
        <v>2</v>
      </c>
      <c r="J10" s="644" t="s">
        <v>896</v>
      </c>
      <c r="K10" s="356">
        <v>41743</v>
      </c>
      <c r="L10" s="644" t="s">
        <v>392</v>
      </c>
      <c r="M10" s="355" t="s">
        <v>1266</v>
      </c>
      <c r="N10" s="644"/>
      <c r="O10" s="659">
        <v>41869</v>
      </c>
      <c r="P10" s="591" t="s">
        <v>1280</v>
      </c>
      <c r="Q10" s="660" t="s">
        <v>1281</v>
      </c>
      <c r="R10" s="662">
        <v>42101</v>
      </c>
      <c r="S10" s="645" t="s">
        <v>392</v>
      </c>
      <c r="T10" s="652" t="s">
        <v>1352</v>
      </c>
    </row>
    <row r="11" spans="4:20" ht="15.75" thickBot="1" x14ac:dyDescent="0.3">
      <c r="I11" s="639"/>
      <c r="J11" s="637" t="s">
        <v>897</v>
      </c>
      <c r="K11" s="638">
        <v>41743</v>
      </c>
      <c r="L11" s="637" t="s">
        <v>392</v>
      </c>
      <c r="M11" s="639" t="s">
        <v>1266</v>
      </c>
      <c r="N11" s="637"/>
      <c r="O11" s="642"/>
      <c r="P11" s="641"/>
      <c r="Q11" s="642"/>
      <c r="R11" s="662">
        <v>42101</v>
      </c>
      <c r="S11" s="642" t="s">
        <v>392</v>
      </c>
      <c r="T11" s="652" t="s">
        <v>1352</v>
      </c>
    </row>
    <row r="12" spans="4:20" ht="15.75" thickBot="1" x14ac:dyDescent="0.3">
      <c r="I12" s="358">
        <v>3</v>
      </c>
      <c r="J12" s="647" t="s">
        <v>896</v>
      </c>
      <c r="K12" s="359">
        <v>41694</v>
      </c>
      <c r="L12" s="647" t="s">
        <v>258</v>
      </c>
      <c r="M12" s="358"/>
      <c r="N12" s="647"/>
      <c r="O12" s="651"/>
      <c r="P12" s="649"/>
      <c r="Q12" s="651"/>
      <c r="R12" s="663">
        <v>42107</v>
      </c>
      <c r="S12" s="651" t="s">
        <v>392</v>
      </c>
      <c r="T12" s="652" t="s">
        <v>1352</v>
      </c>
    </row>
    <row r="13" spans="4:20" ht="15.75" thickBot="1" x14ac:dyDescent="0.3">
      <c r="I13" s="540"/>
      <c r="J13" s="653" t="s">
        <v>897</v>
      </c>
      <c r="K13" s="357">
        <v>41743</v>
      </c>
      <c r="L13" s="653" t="s">
        <v>392</v>
      </c>
      <c r="M13" s="540" t="s">
        <v>1266</v>
      </c>
      <c r="N13" s="653"/>
      <c r="O13" s="657"/>
      <c r="P13" s="655"/>
      <c r="Q13" s="657"/>
      <c r="R13" s="662">
        <v>42107</v>
      </c>
      <c r="S13" s="651" t="s">
        <v>392</v>
      </c>
      <c r="T13" s="652" t="s">
        <v>1352</v>
      </c>
    </row>
    <row r="14" spans="4:20" ht="15.75" thickBot="1" x14ac:dyDescent="0.3">
      <c r="I14" s="355">
        <v>4</v>
      </c>
      <c r="J14" s="644" t="s">
        <v>896</v>
      </c>
      <c r="K14" s="356">
        <v>41743</v>
      </c>
      <c r="L14" s="644" t="s">
        <v>392</v>
      </c>
      <c r="M14" s="355" t="s">
        <v>1266</v>
      </c>
      <c r="N14" s="644"/>
      <c r="O14" s="659">
        <v>41940</v>
      </c>
      <c r="P14" s="591" t="s">
        <v>1293</v>
      </c>
      <c r="Q14" s="660" t="s">
        <v>1294</v>
      </c>
      <c r="R14" s="681">
        <v>42107</v>
      </c>
      <c r="S14" s="651" t="s">
        <v>392</v>
      </c>
      <c r="T14" s="652" t="s">
        <v>1352</v>
      </c>
    </row>
    <row r="15" spans="4:20" ht="15.75" thickBot="1" x14ac:dyDescent="0.3">
      <c r="I15" s="639"/>
      <c r="J15" s="637" t="s">
        <v>897</v>
      </c>
      <c r="K15" s="638">
        <v>41743</v>
      </c>
      <c r="L15" s="637" t="s">
        <v>392</v>
      </c>
      <c r="M15" s="639" t="s">
        <v>1266</v>
      </c>
      <c r="N15" s="637"/>
      <c r="O15" s="640">
        <v>41940</v>
      </c>
      <c r="P15" s="641" t="s">
        <v>1293</v>
      </c>
      <c r="Q15" s="661" t="s">
        <v>1294</v>
      </c>
      <c r="R15" s="682">
        <v>42107</v>
      </c>
      <c r="S15" s="651" t="s">
        <v>392</v>
      </c>
      <c r="T15" s="652" t="s">
        <v>1352</v>
      </c>
    </row>
    <row r="16" spans="4:20" x14ac:dyDescent="0.25">
      <c r="I16" s="358">
        <v>5</v>
      </c>
      <c r="J16" s="647" t="s">
        <v>896</v>
      </c>
      <c r="K16" s="359">
        <v>41744</v>
      </c>
      <c r="L16" s="647" t="s">
        <v>392</v>
      </c>
      <c r="M16" s="358" t="s">
        <v>1266</v>
      </c>
      <c r="N16" s="647"/>
      <c r="O16" s="648">
        <v>41953</v>
      </c>
      <c r="P16" s="649" t="s">
        <v>1296</v>
      </c>
      <c r="Q16" s="650" t="s">
        <v>1297</v>
      </c>
      <c r="R16" s="663">
        <v>42065</v>
      </c>
      <c r="S16" s="651" t="s">
        <v>1241</v>
      </c>
      <c r="T16" s="652" t="s">
        <v>1323</v>
      </c>
    </row>
    <row r="17" spans="9:20" ht="15.75" thickBot="1" x14ac:dyDescent="0.3">
      <c r="I17" s="540"/>
      <c r="J17" s="653" t="s">
        <v>897</v>
      </c>
      <c r="K17" s="357">
        <v>41744</v>
      </c>
      <c r="L17" s="653" t="s">
        <v>392</v>
      </c>
      <c r="M17" s="540" t="s">
        <v>1266</v>
      </c>
      <c r="N17" s="653"/>
      <c r="O17" s="654">
        <v>41953</v>
      </c>
      <c r="P17" s="655" t="s">
        <v>1296</v>
      </c>
      <c r="Q17" s="656" t="s">
        <v>1297</v>
      </c>
      <c r="R17" s="662">
        <v>42065</v>
      </c>
      <c r="S17" s="657" t="s">
        <v>1324</v>
      </c>
      <c r="T17" s="658" t="s">
        <v>1298</v>
      </c>
    </row>
    <row r="18" spans="9:20" x14ac:dyDescent="0.25">
      <c r="I18" s="355">
        <v>6</v>
      </c>
      <c r="J18" s="644" t="s">
        <v>896</v>
      </c>
      <c r="K18" s="356">
        <v>41743</v>
      </c>
      <c r="L18" s="644" t="s">
        <v>392</v>
      </c>
      <c r="M18" s="355" t="s">
        <v>1266</v>
      </c>
      <c r="N18" s="644"/>
      <c r="O18" s="645"/>
      <c r="P18" s="591"/>
      <c r="Q18" s="645"/>
      <c r="R18" s="591"/>
      <c r="S18" s="645"/>
      <c r="T18" s="646"/>
    </row>
    <row r="19" spans="9:20" ht="15.75" thickBot="1" x14ac:dyDescent="0.3">
      <c r="I19" s="639"/>
      <c r="J19" s="637" t="s">
        <v>897</v>
      </c>
      <c r="K19" s="638">
        <v>41743</v>
      </c>
      <c r="L19" s="637" t="s">
        <v>392</v>
      </c>
      <c r="M19" s="639" t="s">
        <v>1266</v>
      </c>
      <c r="N19" s="637"/>
      <c r="O19" s="642"/>
      <c r="P19" s="641"/>
      <c r="Q19" s="642"/>
      <c r="R19" s="641"/>
      <c r="S19" s="642"/>
      <c r="T19" s="643"/>
    </row>
    <row r="20" spans="9:20" x14ac:dyDescent="0.25">
      <c r="I20" s="358">
        <v>7</v>
      </c>
      <c r="J20" s="647" t="s">
        <v>896</v>
      </c>
      <c r="K20" s="359"/>
      <c r="L20" s="647"/>
      <c r="M20" s="358"/>
      <c r="N20" s="647"/>
      <c r="O20" s="651"/>
      <c r="P20" s="649"/>
      <c r="Q20" s="651"/>
      <c r="R20" s="649"/>
      <c r="S20" s="651"/>
      <c r="T20" s="652"/>
    </row>
    <row r="21" spans="9:20" ht="15.75" thickBot="1" x14ac:dyDescent="0.3">
      <c r="I21" s="540"/>
      <c r="J21" s="653" t="s">
        <v>897</v>
      </c>
      <c r="K21" s="357"/>
      <c r="L21" s="653"/>
      <c r="M21" s="540"/>
      <c r="N21" s="653"/>
      <c r="O21" s="657"/>
      <c r="P21" s="655"/>
      <c r="Q21" s="657"/>
      <c r="R21" s="655"/>
      <c r="S21" s="657"/>
      <c r="T21" s="658"/>
    </row>
    <row r="22" spans="9:20" x14ac:dyDescent="0.25">
      <c r="I22" s="355">
        <v>8</v>
      </c>
      <c r="J22" s="644" t="s">
        <v>896</v>
      </c>
      <c r="K22" s="356"/>
      <c r="L22" s="644"/>
      <c r="M22" s="355"/>
      <c r="N22" s="644"/>
      <c r="O22" s="645"/>
      <c r="P22" s="591"/>
      <c r="Q22" s="645"/>
      <c r="R22" s="591"/>
      <c r="S22" s="645"/>
      <c r="T22" s="646"/>
    </row>
    <row r="23" spans="9:20" ht="15.75" thickBot="1" x14ac:dyDescent="0.3">
      <c r="I23" s="639"/>
      <c r="J23" s="637" t="s">
        <v>897</v>
      </c>
      <c r="K23" s="638"/>
      <c r="L23" s="637"/>
      <c r="M23" s="639"/>
      <c r="N23" s="637"/>
      <c r="O23" s="642"/>
      <c r="P23" s="641"/>
      <c r="Q23" s="642"/>
      <c r="R23" s="641"/>
      <c r="S23" s="642"/>
      <c r="T23" s="643"/>
    </row>
    <row r="24" spans="9:20" x14ac:dyDescent="0.25">
      <c r="I24" s="358">
        <v>9</v>
      </c>
      <c r="J24" s="647" t="s">
        <v>896</v>
      </c>
      <c r="K24" s="359">
        <v>41744</v>
      </c>
      <c r="L24" s="647" t="s">
        <v>392</v>
      </c>
      <c r="M24" s="358" t="s">
        <v>1266</v>
      </c>
      <c r="N24" s="647"/>
      <c r="O24" s="648">
        <v>41953</v>
      </c>
      <c r="P24" s="649" t="s">
        <v>1296</v>
      </c>
      <c r="Q24" s="650" t="s">
        <v>1298</v>
      </c>
      <c r="R24" s="663">
        <v>42065</v>
      </c>
      <c r="S24" s="651" t="s">
        <v>1241</v>
      </c>
      <c r="T24" s="652" t="s">
        <v>1323</v>
      </c>
    </row>
    <row r="25" spans="9:20" ht="15.75" thickBot="1" x14ac:dyDescent="0.3">
      <c r="I25" s="540"/>
      <c r="J25" s="653" t="s">
        <v>897</v>
      </c>
      <c r="K25" s="357">
        <v>41744</v>
      </c>
      <c r="L25" s="653" t="s">
        <v>392</v>
      </c>
      <c r="M25" s="540" t="s">
        <v>1266</v>
      </c>
      <c r="N25" s="653"/>
      <c r="O25" s="657"/>
      <c r="P25" s="655"/>
      <c r="Q25" s="657"/>
      <c r="R25" s="662">
        <v>42065</v>
      </c>
      <c r="S25" s="657" t="s">
        <v>1325</v>
      </c>
      <c r="T25" s="658" t="s">
        <v>1298</v>
      </c>
    </row>
    <row r="26" spans="9:20" ht="15.75" thickBot="1" x14ac:dyDescent="0.3">
      <c r="I26" s="355">
        <v>10</v>
      </c>
      <c r="J26" s="644" t="s">
        <v>896</v>
      </c>
      <c r="K26" s="356">
        <v>41750</v>
      </c>
      <c r="L26" s="644" t="s">
        <v>392</v>
      </c>
      <c r="M26" s="355" t="s">
        <v>1265</v>
      </c>
      <c r="N26" s="644"/>
      <c r="O26" s="659">
        <v>41806</v>
      </c>
      <c r="P26" s="591" t="s">
        <v>1240</v>
      </c>
      <c r="Q26" s="660" t="s">
        <v>1274</v>
      </c>
      <c r="R26" s="662">
        <v>42101</v>
      </c>
      <c r="S26" s="645" t="s">
        <v>392</v>
      </c>
      <c r="T26" s="646" t="s">
        <v>1354</v>
      </c>
    </row>
    <row r="27" spans="9:20" ht="15.75" thickBot="1" x14ac:dyDescent="0.3">
      <c r="I27" s="639"/>
      <c r="J27" s="637" t="s">
        <v>897</v>
      </c>
      <c r="K27" s="638">
        <v>41750</v>
      </c>
      <c r="L27" s="637" t="s">
        <v>392</v>
      </c>
      <c r="M27" s="639" t="s">
        <v>1265</v>
      </c>
      <c r="N27" s="637"/>
      <c r="O27" s="642"/>
      <c r="P27" s="641"/>
      <c r="Q27" s="642"/>
      <c r="R27" s="662">
        <v>42101</v>
      </c>
      <c r="S27" s="642" t="s">
        <v>392</v>
      </c>
      <c r="T27" s="646" t="s">
        <v>1354</v>
      </c>
    </row>
    <row r="28" spans="9:20" ht="15.75" thickBot="1" x14ac:dyDescent="0.3">
      <c r="I28" s="358">
        <v>11</v>
      </c>
      <c r="J28" s="647" t="s">
        <v>896</v>
      </c>
      <c r="K28" s="359">
        <v>41883</v>
      </c>
      <c r="L28" s="647" t="s">
        <v>1291</v>
      </c>
      <c r="M28" s="358" t="s">
        <v>1292</v>
      </c>
      <c r="N28" s="647"/>
      <c r="O28" s="651"/>
      <c r="P28" s="649"/>
      <c r="Q28" s="651"/>
      <c r="R28" s="663">
        <v>42100</v>
      </c>
      <c r="S28" s="651" t="s">
        <v>392</v>
      </c>
      <c r="T28" s="652" t="s">
        <v>1352</v>
      </c>
    </row>
    <row r="29" spans="9:20" ht="15.75" thickBot="1" x14ac:dyDescent="0.3">
      <c r="I29" s="540"/>
      <c r="J29" s="653" t="s">
        <v>897</v>
      </c>
      <c r="K29" s="357">
        <v>41883</v>
      </c>
      <c r="L29" s="653" t="s">
        <v>1291</v>
      </c>
      <c r="M29" s="540" t="s">
        <v>1292</v>
      </c>
      <c r="N29" s="653"/>
      <c r="O29" s="657"/>
      <c r="P29" s="655"/>
      <c r="Q29" s="657"/>
      <c r="R29" s="663">
        <v>42100</v>
      </c>
      <c r="S29" s="657" t="s">
        <v>392</v>
      </c>
      <c r="T29" s="652" t="s">
        <v>1352</v>
      </c>
    </row>
    <row r="30" spans="9:20" ht="15.75" thickBot="1" x14ac:dyDescent="0.3">
      <c r="I30" s="355">
        <v>12</v>
      </c>
      <c r="J30" s="644" t="s">
        <v>896</v>
      </c>
      <c r="K30" s="356">
        <v>41737</v>
      </c>
      <c r="L30" s="644" t="s">
        <v>392</v>
      </c>
      <c r="M30" s="355" t="s">
        <v>1266</v>
      </c>
      <c r="N30" s="644"/>
      <c r="O30" s="659">
        <v>41940</v>
      </c>
      <c r="P30" s="591" t="s">
        <v>1293</v>
      </c>
      <c r="Q30" s="660" t="s">
        <v>1294</v>
      </c>
      <c r="R30" s="681">
        <v>42100</v>
      </c>
      <c r="S30" s="645" t="s">
        <v>392</v>
      </c>
      <c r="T30" s="646" t="s">
        <v>1354</v>
      </c>
    </row>
    <row r="31" spans="9:20" ht="15.75" thickBot="1" x14ac:dyDescent="0.3">
      <c r="I31" s="639"/>
      <c r="J31" s="637" t="s">
        <v>897</v>
      </c>
      <c r="K31" s="638">
        <v>41737</v>
      </c>
      <c r="L31" s="637" t="s">
        <v>392</v>
      </c>
      <c r="M31" s="639" t="s">
        <v>1266</v>
      </c>
      <c r="N31" s="637"/>
      <c r="O31" s="640">
        <v>41940</v>
      </c>
      <c r="P31" s="641" t="s">
        <v>1293</v>
      </c>
      <c r="Q31" s="661" t="s">
        <v>1294</v>
      </c>
      <c r="R31" s="682">
        <v>42100</v>
      </c>
      <c r="S31" s="642" t="s">
        <v>392</v>
      </c>
      <c r="T31" s="652" t="s">
        <v>1352</v>
      </c>
    </row>
    <row r="32" spans="9:20" ht="15.75" thickBot="1" x14ac:dyDescent="0.3">
      <c r="I32" s="358">
        <v>13</v>
      </c>
      <c r="J32" s="647" t="s">
        <v>896</v>
      </c>
      <c r="K32" s="359">
        <v>41744</v>
      </c>
      <c r="L32" s="647" t="s">
        <v>392</v>
      </c>
      <c r="M32" s="358" t="s">
        <v>1266</v>
      </c>
      <c r="N32" s="647"/>
      <c r="O32" s="648">
        <v>41953</v>
      </c>
      <c r="P32" s="649" t="s">
        <v>1296</v>
      </c>
      <c r="Q32" s="650" t="s">
        <v>1298</v>
      </c>
      <c r="R32" s="662">
        <v>42101</v>
      </c>
      <c r="S32" s="651" t="s">
        <v>392</v>
      </c>
      <c r="T32" s="652" t="s">
        <v>1352</v>
      </c>
    </row>
    <row r="33" spans="9:20" ht="15.75" thickBot="1" x14ac:dyDescent="0.3">
      <c r="I33" s="540"/>
      <c r="J33" s="653" t="s">
        <v>897</v>
      </c>
      <c r="K33" s="357">
        <v>41744</v>
      </c>
      <c r="L33" s="653" t="s">
        <v>392</v>
      </c>
      <c r="M33" s="540" t="s">
        <v>1266</v>
      </c>
      <c r="N33" s="653"/>
      <c r="O33" s="657"/>
      <c r="P33" s="655"/>
      <c r="Q33" s="657"/>
      <c r="R33" s="662">
        <v>42101</v>
      </c>
      <c r="S33" s="657" t="s">
        <v>392</v>
      </c>
      <c r="T33" s="652" t="s">
        <v>1352</v>
      </c>
    </row>
    <row r="34" spans="9:20" ht="15.75" thickBot="1" x14ac:dyDescent="0.3">
      <c r="I34" s="355">
        <v>14</v>
      </c>
      <c r="J34" s="644" t="s">
        <v>896</v>
      </c>
      <c r="K34" s="356">
        <v>41744</v>
      </c>
      <c r="L34" s="644" t="s">
        <v>392</v>
      </c>
      <c r="M34" s="355" t="s">
        <v>1266</v>
      </c>
      <c r="N34" s="644"/>
      <c r="O34" s="659">
        <v>41940</v>
      </c>
      <c r="P34" s="591" t="s">
        <v>1293</v>
      </c>
      <c r="Q34" s="660" t="s">
        <v>1294</v>
      </c>
      <c r="R34" s="681">
        <v>42100</v>
      </c>
      <c r="S34" s="645" t="s">
        <v>392</v>
      </c>
      <c r="T34" s="652" t="s">
        <v>1352</v>
      </c>
    </row>
    <row r="35" spans="9:20" ht="15.75" thickBot="1" x14ac:dyDescent="0.3">
      <c r="I35" s="639"/>
      <c r="J35" s="637" t="s">
        <v>897</v>
      </c>
      <c r="K35" s="638">
        <v>41744</v>
      </c>
      <c r="L35" s="637" t="s">
        <v>392</v>
      </c>
      <c r="M35" s="639" t="s">
        <v>1266</v>
      </c>
      <c r="N35" s="637"/>
      <c r="O35" s="640">
        <v>41940</v>
      </c>
      <c r="P35" s="641" t="s">
        <v>1293</v>
      </c>
      <c r="Q35" s="661" t="s">
        <v>1294</v>
      </c>
      <c r="R35" s="682">
        <v>42100</v>
      </c>
      <c r="S35" s="642" t="s">
        <v>392</v>
      </c>
      <c r="T35" s="652" t="s">
        <v>1352</v>
      </c>
    </row>
    <row r="36" spans="9:20" ht="15.75" thickBot="1" x14ac:dyDescent="0.3">
      <c r="I36" s="358">
        <v>15</v>
      </c>
      <c r="J36" s="647" t="s">
        <v>896</v>
      </c>
      <c r="K36" s="359">
        <v>41737</v>
      </c>
      <c r="L36" s="647" t="s">
        <v>392</v>
      </c>
      <c r="M36" s="358" t="s">
        <v>1266</v>
      </c>
      <c r="N36" s="647"/>
      <c r="O36" s="648">
        <v>41806</v>
      </c>
      <c r="P36" s="649" t="s">
        <v>1275</v>
      </c>
      <c r="Q36" s="650" t="s">
        <v>1276</v>
      </c>
      <c r="R36" s="663">
        <v>42107</v>
      </c>
      <c r="S36" s="651" t="s">
        <v>392</v>
      </c>
      <c r="T36" s="652" t="s">
        <v>1352</v>
      </c>
    </row>
    <row r="37" spans="9:20" ht="15.75" thickBot="1" x14ac:dyDescent="0.3">
      <c r="I37" s="540"/>
      <c r="J37" s="653" t="s">
        <v>897</v>
      </c>
      <c r="K37" s="357">
        <v>41737</v>
      </c>
      <c r="L37" s="653" t="s">
        <v>392</v>
      </c>
      <c r="M37" s="540" t="s">
        <v>1266</v>
      </c>
      <c r="N37" s="653"/>
      <c r="O37" s="657"/>
      <c r="P37" s="655"/>
      <c r="Q37" s="657"/>
      <c r="R37" s="662">
        <v>42107</v>
      </c>
      <c r="S37" s="657" t="s">
        <v>392</v>
      </c>
      <c r="T37" s="652" t="s">
        <v>1352</v>
      </c>
    </row>
    <row r="38" spans="9:20" x14ac:dyDescent="0.25">
      <c r="I38" s="355">
        <v>16</v>
      </c>
      <c r="J38" s="644" t="s">
        <v>896</v>
      </c>
      <c r="K38" s="356">
        <v>41737</v>
      </c>
      <c r="L38" s="644" t="s">
        <v>392</v>
      </c>
      <c r="M38" s="355" t="s">
        <v>1266</v>
      </c>
      <c r="N38" s="644"/>
      <c r="O38" s="645"/>
      <c r="P38" s="591"/>
      <c r="Q38" s="645"/>
      <c r="R38" s="591"/>
      <c r="S38" s="645"/>
      <c r="T38" s="646"/>
    </row>
    <row r="39" spans="9:20" ht="15.75" thickBot="1" x14ac:dyDescent="0.3">
      <c r="I39" s="639"/>
      <c r="J39" s="637" t="s">
        <v>897</v>
      </c>
      <c r="K39" s="638">
        <v>41737</v>
      </c>
      <c r="L39" s="637" t="s">
        <v>392</v>
      </c>
      <c r="M39" s="639" t="s">
        <v>1266</v>
      </c>
      <c r="N39" s="637"/>
      <c r="O39" s="642"/>
      <c r="P39" s="641"/>
      <c r="Q39" s="642"/>
      <c r="R39" s="641"/>
      <c r="S39" s="642"/>
      <c r="T39" s="643"/>
    </row>
    <row r="40" spans="9:20" ht="15.75" thickBot="1" x14ac:dyDescent="0.3">
      <c r="I40" s="358">
        <v>17</v>
      </c>
      <c r="J40" s="647" t="s">
        <v>896</v>
      </c>
      <c r="K40" s="359">
        <v>41736</v>
      </c>
      <c r="L40" s="647" t="s">
        <v>392</v>
      </c>
      <c r="M40" s="358" t="s">
        <v>1266</v>
      </c>
      <c r="N40" s="647"/>
      <c r="O40" s="648">
        <v>41953</v>
      </c>
      <c r="P40" s="649" t="s">
        <v>1299</v>
      </c>
      <c r="Q40" s="650" t="s">
        <v>1300</v>
      </c>
      <c r="R40" s="663">
        <v>42094</v>
      </c>
      <c r="S40" s="651" t="s">
        <v>1260</v>
      </c>
      <c r="T40" s="652" t="s">
        <v>1352</v>
      </c>
    </row>
    <row r="41" spans="9:20" ht="15.75" thickBot="1" x14ac:dyDescent="0.3">
      <c r="I41" s="540"/>
      <c r="J41" s="653" t="s">
        <v>897</v>
      </c>
      <c r="K41" s="357">
        <v>41736</v>
      </c>
      <c r="L41" s="653" t="s">
        <v>392</v>
      </c>
      <c r="M41" s="540" t="s">
        <v>1266</v>
      </c>
      <c r="N41" s="653"/>
      <c r="O41" s="657"/>
      <c r="P41" s="655"/>
      <c r="Q41" s="657"/>
      <c r="R41" s="663">
        <v>42094</v>
      </c>
      <c r="S41" s="651" t="s">
        <v>1260</v>
      </c>
      <c r="T41" s="652" t="s">
        <v>1352</v>
      </c>
    </row>
    <row r="42" spans="9:20" ht="15.75" thickBot="1" x14ac:dyDescent="0.3">
      <c r="I42" s="819">
        <v>18</v>
      </c>
      <c r="J42" s="644" t="s">
        <v>896</v>
      </c>
      <c r="K42" s="356">
        <v>41667</v>
      </c>
      <c r="L42" s="644" t="s">
        <v>1240</v>
      </c>
      <c r="M42" s="355" t="s">
        <v>1241</v>
      </c>
      <c r="N42" s="644"/>
      <c r="O42" s="659">
        <v>41953</v>
      </c>
      <c r="P42" s="591" t="s">
        <v>1296</v>
      </c>
      <c r="Q42" s="660" t="s">
        <v>1300</v>
      </c>
      <c r="R42" s="663">
        <v>42094</v>
      </c>
      <c r="S42" s="651" t="s">
        <v>1260</v>
      </c>
      <c r="T42" s="652" t="s">
        <v>1352</v>
      </c>
    </row>
    <row r="43" spans="9:20" ht="15.75" thickBot="1" x14ac:dyDescent="0.3">
      <c r="I43" s="820"/>
      <c r="J43" s="637" t="s">
        <v>897</v>
      </c>
      <c r="K43" s="638"/>
      <c r="L43" s="637"/>
      <c r="M43" s="639"/>
      <c r="N43" s="637"/>
      <c r="O43" s="640">
        <v>41948</v>
      </c>
      <c r="P43" s="641" t="s">
        <v>1296</v>
      </c>
      <c r="Q43" s="642" t="s">
        <v>1300</v>
      </c>
      <c r="R43" s="663">
        <v>42094</v>
      </c>
      <c r="S43" s="651" t="s">
        <v>1260</v>
      </c>
      <c r="T43" s="652" t="s">
        <v>1352</v>
      </c>
    </row>
    <row r="44" spans="9:20" ht="15.75" thickBot="1" x14ac:dyDescent="0.3">
      <c r="I44" s="821">
        <v>19</v>
      </c>
      <c r="J44" s="647" t="s">
        <v>896</v>
      </c>
      <c r="K44" s="359">
        <v>41736</v>
      </c>
      <c r="L44" s="647" t="s">
        <v>392</v>
      </c>
      <c r="M44" s="358" t="s">
        <v>1266</v>
      </c>
      <c r="N44" s="647"/>
      <c r="O44" s="648">
        <v>41953</v>
      </c>
      <c r="P44" s="649" t="s">
        <v>1296</v>
      </c>
      <c r="Q44" s="650" t="s">
        <v>1300</v>
      </c>
      <c r="R44" s="663">
        <v>42100</v>
      </c>
      <c r="S44" s="651" t="s">
        <v>1260</v>
      </c>
      <c r="T44" s="652" t="s">
        <v>1352</v>
      </c>
    </row>
    <row r="45" spans="9:20" ht="15.75" thickBot="1" x14ac:dyDescent="0.3">
      <c r="I45" s="822"/>
      <c r="J45" s="653" t="s">
        <v>897</v>
      </c>
      <c r="K45" s="357">
        <v>41736</v>
      </c>
      <c r="L45" s="653" t="s">
        <v>392</v>
      </c>
      <c r="M45" s="540" t="s">
        <v>1266</v>
      </c>
      <c r="N45" s="653"/>
      <c r="O45" s="654">
        <v>41948</v>
      </c>
      <c r="P45" s="655" t="s">
        <v>1296</v>
      </c>
      <c r="Q45" s="656" t="s">
        <v>1300</v>
      </c>
      <c r="R45" s="663">
        <v>42100</v>
      </c>
      <c r="S45" s="651" t="s">
        <v>1260</v>
      </c>
      <c r="T45" s="652" t="s">
        <v>1353</v>
      </c>
    </row>
    <row r="46" spans="9:20" ht="15.75" thickBot="1" x14ac:dyDescent="0.3">
      <c r="I46" s="821">
        <v>20</v>
      </c>
      <c r="J46" s="647" t="s">
        <v>896</v>
      </c>
      <c r="K46" s="359">
        <v>42115</v>
      </c>
      <c r="L46" s="647" t="s">
        <v>392</v>
      </c>
      <c r="M46" s="358" t="s">
        <v>1266</v>
      </c>
      <c r="N46" s="647"/>
      <c r="O46" s="651"/>
      <c r="P46" s="649"/>
      <c r="Q46" s="651"/>
      <c r="R46" s="663">
        <v>42100</v>
      </c>
      <c r="S46" s="651" t="s">
        <v>1260</v>
      </c>
      <c r="T46" s="652" t="s">
        <v>1352</v>
      </c>
    </row>
    <row r="47" spans="9:20" ht="15.75" thickBot="1" x14ac:dyDescent="0.3">
      <c r="I47" s="822"/>
      <c r="J47" s="653" t="s">
        <v>897</v>
      </c>
      <c r="K47" s="357">
        <v>42115</v>
      </c>
      <c r="L47" s="653" t="s">
        <v>392</v>
      </c>
      <c r="M47" s="540" t="s">
        <v>1266</v>
      </c>
      <c r="N47" s="653"/>
      <c r="O47" s="657"/>
      <c r="P47" s="655"/>
      <c r="Q47" s="657"/>
      <c r="R47" s="663">
        <v>42100</v>
      </c>
      <c r="S47" s="651" t="s">
        <v>1260</v>
      </c>
      <c r="T47" s="652" t="s">
        <v>1352</v>
      </c>
    </row>
  </sheetData>
  <mergeCells count="4">
    <mergeCell ref="D1:K2"/>
    <mergeCell ref="I42:I43"/>
    <mergeCell ref="I44:I45"/>
    <mergeCell ref="I46:I47"/>
  </mergeCells>
  <pageMargins left="0.70866141732283472" right="0.70866141732283472" top="0.74803149606299213" bottom="0.74803149606299213" header="0.31496062992125984" footer="0.31496062992125984"/>
  <pageSetup scale="54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W85"/>
  <sheetViews>
    <sheetView topLeftCell="O27" zoomScale="115" zoomScaleNormal="115" workbookViewId="0">
      <selection activeCell="T44" sqref="T44:W44"/>
    </sheetView>
  </sheetViews>
  <sheetFormatPr baseColWidth="10" defaultRowHeight="15" x14ac:dyDescent="0.25"/>
  <cols>
    <col min="9" max="9" width="11.42578125" customWidth="1"/>
    <col min="10" max="10" width="14.140625" customWidth="1"/>
    <col min="11" max="11" width="9.85546875" customWidth="1"/>
    <col min="12" max="12" width="38.42578125" customWidth="1"/>
    <col min="13" max="13" width="12.85546875" customWidth="1"/>
    <col min="14" max="14" width="20.140625" customWidth="1"/>
    <col min="17" max="17" width="30.140625" customWidth="1"/>
    <col min="18" max="18" width="29" customWidth="1"/>
    <col min="20" max="20" width="14.5703125" customWidth="1"/>
    <col min="23" max="23" width="19.28515625" customWidth="1"/>
  </cols>
  <sheetData>
    <row r="1" spans="4:23" x14ac:dyDescent="0.25">
      <c r="D1" s="814" t="s">
        <v>898</v>
      </c>
      <c r="E1" s="814"/>
      <c r="F1" s="814"/>
      <c r="G1" s="814"/>
      <c r="H1" s="814"/>
      <c r="I1" s="814"/>
      <c r="J1" s="814"/>
      <c r="K1" s="814"/>
    </row>
    <row r="2" spans="4:23" ht="28.5" x14ac:dyDescent="0.45">
      <c r="D2" s="814"/>
      <c r="E2" s="814"/>
      <c r="F2" s="814"/>
      <c r="G2" s="814"/>
      <c r="H2" s="814"/>
      <c r="I2" s="814"/>
      <c r="J2" s="814"/>
      <c r="K2" s="814"/>
      <c r="M2" s="549" t="s">
        <v>1309</v>
      </c>
      <c r="Q2" s="449" t="s">
        <v>1310</v>
      </c>
    </row>
    <row r="4" spans="4:23" x14ac:dyDescent="0.25">
      <c r="I4" s="826" t="s">
        <v>891</v>
      </c>
      <c r="J4" s="826" t="s">
        <v>899</v>
      </c>
      <c r="K4" s="826" t="s">
        <v>900</v>
      </c>
      <c r="L4" s="847" t="s">
        <v>894</v>
      </c>
      <c r="M4" s="826" t="s">
        <v>901</v>
      </c>
      <c r="N4" s="826" t="s">
        <v>893</v>
      </c>
      <c r="O4" s="826" t="s">
        <v>891</v>
      </c>
      <c r="P4" s="826" t="s">
        <v>899</v>
      </c>
      <c r="Q4" s="847" t="s">
        <v>894</v>
      </c>
      <c r="R4" s="826" t="s">
        <v>901</v>
      </c>
      <c r="S4" s="826" t="s">
        <v>893</v>
      </c>
      <c r="T4" s="828" t="s">
        <v>895</v>
      </c>
      <c r="U4" s="829"/>
      <c r="V4" s="829"/>
      <c r="W4" s="830"/>
    </row>
    <row r="5" spans="4:23" ht="15.75" thickBot="1" x14ac:dyDescent="0.3">
      <c r="I5" s="846"/>
      <c r="J5" s="846"/>
      <c r="K5" s="846"/>
      <c r="L5" s="848"/>
      <c r="M5" s="846"/>
      <c r="N5" s="846"/>
      <c r="O5" s="846"/>
      <c r="P5" s="846"/>
      <c r="Q5" s="849"/>
      <c r="R5" s="827"/>
      <c r="S5" s="827"/>
      <c r="T5" s="831"/>
      <c r="U5" s="832"/>
      <c r="V5" s="832"/>
      <c r="W5" s="833"/>
    </row>
    <row r="6" spans="4:23" x14ac:dyDescent="0.25">
      <c r="I6" s="843">
        <v>1</v>
      </c>
      <c r="J6" s="143" t="s">
        <v>896</v>
      </c>
      <c r="K6" s="145"/>
      <c r="L6" s="144"/>
      <c r="M6" s="144"/>
      <c r="N6" s="550"/>
      <c r="O6" s="843">
        <v>1</v>
      </c>
      <c r="P6" s="143" t="s">
        <v>896</v>
      </c>
      <c r="Q6" s="371"/>
      <c r="R6" s="371"/>
      <c r="S6" s="371"/>
      <c r="T6" s="834"/>
      <c r="U6" s="835"/>
      <c r="V6" s="835"/>
      <c r="W6" s="836"/>
    </row>
    <row r="7" spans="4:23" x14ac:dyDescent="0.25">
      <c r="I7" s="844"/>
      <c r="J7" s="147" t="s">
        <v>897</v>
      </c>
      <c r="K7" s="149"/>
      <c r="L7" s="148"/>
      <c r="M7" s="148"/>
      <c r="N7" s="551"/>
      <c r="O7" s="844"/>
      <c r="P7" s="147" t="s">
        <v>897</v>
      </c>
      <c r="Q7" s="371"/>
      <c r="R7" s="371"/>
      <c r="S7" s="371"/>
      <c r="T7" s="834"/>
      <c r="U7" s="835"/>
      <c r="V7" s="835"/>
      <c r="W7" s="836"/>
    </row>
    <row r="8" spans="4:23" x14ac:dyDescent="0.25">
      <c r="I8" s="844"/>
      <c r="J8" s="147" t="s">
        <v>902</v>
      </c>
      <c r="K8" s="148"/>
      <c r="L8" s="148"/>
      <c r="M8" s="148"/>
      <c r="N8" s="551"/>
      <c r="O8" s="844"/>
      <c r="P8" s="147" t="s">
        <v>902</v>
      </c>
      <c r="Q8" s="371"/>
      <c r="R8" s="371"/>
      <c r="S8" s="371"/>
      <c r="T8" s="834"/>
      <c r="U8" s="835"/>
      <c r="V8" s="835"/>
      <c r="W8" s="836"/>
    </row>
    <row r="9" spans="4:23" ht="15.75" thickBot="1" x14ac:dyDescent="0.3">
      <c r="I9" s="845"/>
      <c r="J9" s="155" t="s">
        <v>903</v>
      </c>
      <c r="K9" s="156"/>
      <c r="L9" s="156"/>
      <c r="M9" s="156"/>
      <c r="N9" s="552"/>
      <c r="O9" s="845"/>
      <c r="P9" s="155" t="s">
        <v>903</v>
      </c>
      <c r="Q9" s="375"/>
      <c r="R9" s="375"/>
      <c r="S9" s="375"/>
      <c r="T9" s="823"/>
      <c r="U9" s="824"/>
      <c r="V9" s="824"/>
      <c r="W9" s="825"/>
    </row>
    <row r="10" spans="4:23" x14ac:dyDescent="0.25">
      <c r="I10" s="843">
        <v>2</v>
      </c>
      <c r="J10" s="143" t="s">
        <v>896</v>
      </c>
      <c r="K10" s="145"/>
      <c r="L10" s="144"/>
      <c r="M10" s="144"/>
      <c r="N10" s="550"/>
      <c r="O10" s="843">
        <v>2</v>
      </c>
      <c r="P10" s="143" t="s">
        <v>896</v>
      </c>
      <c r="Q10" s="624"/>
      <c r="R10" s="624"/>
      <c r="S10" s="624"/>
      <c r="T10" s="837"/>
      <c r="U10" s="838"/>
      <c r="V10" s="838"/>
      <c r="W10" s="839"/>
    </row>
    <row r="11" spans="4:23" x14ac:dyDescent="0.25">
      <c r="I11" s="844"/>
      <c r="J11" s="147" t="s">
        <v>897</v>
      </c>
      <c r="K11" s="149"/>
      <c r="L11" s="148"/>
      <c r="M11" s="148"/>
      <c r="N11" s="551"/>
      <c r="O11" s="844"/>
      <c r="P11" s="147" t="s">
        <v>897</v>
      </c>
      <c r="Q11" s="371"/>
      <c r="R11" s="371"/>
      <c r="S11" s="371"/>
      <c r="T11" s="834"/>
      <c r="U11" s="835"/>
      <c r="V11" s="835"/>
      <c r="W11" s="836"/>
    </row>
    <row r="12" spans="4:23" x14ac:dyDescent="0.25">
      <c r="I12" s="844"/>
      <c r="J12" s="147" t="s">
        <v>902</v>
      </c>
      <c r="K12" s="148"/>
      <c r="L12" s="148"/>
      <c r="M12" s="148"/>
      <c r="N12" s="551"/>
      <c r="O12" s="844"/>
      <c r="P12" s="147" t="s">
        <v>902</v>
      </c>
      <c r="Q12" s="371"/>
      <c r="R12" s="371"/>
      <c r="S12" s="371"/>
      <c r="T12" s="834"/>
      <c r="U12" s="835"/>
      <c r="V12" s="835"/>
      <c r="W12" s="836"/>
    </row>
    <row r="13" spans="4:23" ht="15.75" thickBot="1" x14ac:dyDescent="0.3">
      <c r="I13" s="845"/>
      <c r="J13" s="155" t="s">
        <v>903</v>
      </c>
      <c r="K13" s="156"/>
      <c r="L13" s="156"/>
      <c r="M13" s="156"/>
      <c r="N13" s="552"/>
      <c r="O13" s="845"/>
      <c r="P13" s="155" t="s">
        <v>903</v>
      </c>
      <c r="Q13" s="375"/>
      <c r="R13" s="375"/>
      <c r="S13" s="375"/>
      <c r="T13" s="823"/>
      <c r="U13" s="824"/>
      <c r="V13" s="824"/>
      <c r="W13" s="825"/>
    </row>
    <row r="14" spans="4:23" x14ac:dyDescent="0.25">
      <c r="I14" s="843">
        <v>3</v>
      </c>
      <c r="J14" s="143" t="s">
        <v>896</v>
      </c>
      <c r="K14" s="145"/>
      <c r="L14" s="144"/>
      <c r="M14" s="144"/>
      <c r="N14" s="550"/>
      <c r="O14" s="843">
        <v>3</v>
      </c>
      <c r="P14" s="143" t="s">
        <v>896</v>
      </c>
      <c r="Q14" s="624"/>
      <c r="R14" s="624"/>
      <c r="S14" s="624"/>
      <c r="T14" s="837"/>
      <c r="U14" s="838"/>
      <c r="V14" s="838"/>
      <c r="W14" s="839"/>
    </row>
    <row r="15" spans="4:23" x14ac:dyDescent="0.25">
      <c r="I15" s="844"/>
      <c r="J15" s="147" t="s">
        <v>897</v>
      </c>
      <c r="K15" s="149"/>
      <c r="L15" s="148"/>
      <c r="M15" s="148"/>
      <c r="N15" s="551"/>
      <c r="O15" s="844"/>
      <c r="P15" s="147" t="s">
        <v>897</v>
      </c>
      <c r="Q15" s="371"/>
      <c r="R15" s="371"/>
      <c r="S15" s="371"/>
      <c r="T15" s="834"/>
      <c r="U15" s="835"/>
      <c r="V15" s="835"/>
      <c r="W15" s="836"/>
    </row>
    <row r="16" spans="4:23" x14ac:dyDescent="0.25">
      <c r="I16" s="844"/>
      <c r="J16" s="147" t="s">
        <v>902</v>
      </c>
      <c r="K16" s="148"/>
      <c r="L16" s="148"/>
      <c r="M16" s="148"/>
      <c r="N16" s="551"/>
      <c r="O16" s="844"/>
      <c r="P16" s="147" t="s">
        <v>902</v>
      </c>
      <c r="Q16" s="371"/>
      <c r="R16" s="371"/>
      <c r="S16" s="371"/>
      <c r="T16" s="834"/>
      <c r="U16" s="835"/>
      <c r="V16" s="835"/>
      <c r="W16" s="836"/>
    </row>
    <row r="17" spans="9:23" ht="15.75" thickBot="1" x14ac:dyDescent="0.3">
      <c r="I17" s="845"/>
      <c r="J17" s="155" t="s">
        <v>903</v>
      </c>
      <c r="K17" s="156"/>
      <c r="L17" s="156"/>
      <c r="M17" s="156"/>
      <c r="N17" s="552"/>
      <c r="O17" s="845"/>
      <c r="P17" s="155" t="s">
        <v>903</v>
      </c>
      <c r="Q17" s="375"/>
      <c r="R17" s="375"/>
      <c r="S17" s="375"/>
      <c r="T17" s="823"/>
      <c r="U17" s="824"/>
      <c r="V17" s="824"/>
      <c r="W17" s="825"/>
    </row>
    <row r="18" spans="9:23" x14ac:dyDescent="0.25">
      <c r="I18" s="843">
        <v>4</v>
      </c>
      <c r="J18" s="143" t="s">
        <v>896</v>
      </c>
      <c r="K18" s="145"/>
      <c r="L18" s="144"/>
      <c r="M18" s="144"/>
      <c r="N18" s="550"/>
      <c r="O18" s="843">
        <v>4</v>
      </c>
      <c r="P18" s="143" t="s">
        <v>896</v>
      </c>
      <c r="Q18" s="624"/>
      <c r="R18" s="624"/>
      <c r="S18" s="624"/>
      <c r="T18" s="837"/>
      <c r="U18" s="838"/>
      <c r="V18" s="838"/>
      <c r="W18" s="839"/>
    </row>
    <row r="19" spans="9:23" x14ac:dyDescent="0.25">
      <c r="I19" s="844"/>
      <c r="J19" s="147" t="s">
        <v>897</v>
      </c>
      <c r="K19" s="149"/>
      <c r="L19" s="148"/>
      <c r="M19" s="148"/>
      <c r="N19" s="551"/>
      <c r="O19" s="844"/>
      <c r="P19" s="147" t="s">
        <v>897</v>
      </c>
      <c r="Q19" s="371"/>
      <c r="R19" s="371"/>
      <c r="S19" s="371"/>
      <c r="T19" s="834"/>
      <c r="U19" s="835"/>
      <c r="V19" s="835"/>
      <c r="W19" s="836"/>
    </row>
    <row r="20" spans="9:23" x14ac:dyDescent="0.25">
      <c r="I20" s="844"/>
      <c r="J20" s="147" t="s">
        <v>902</v>
      </c>
      <c r="K20" s="148"/>
      <c r="L20" s="148"/>
      <c r="M20" s="148"/>
      <c r="N20" s="551"/>
      <c r="O20" s="844"/>
      <c r="P20" s="147" t="s">
        <v>902</v>
      </c>
      <c r="Q20" s="371"/>
      <c r="R20" s="371"/>
      <c r="S20" s="371"/>
      <c r="T20" s="834"/>
      <c r="U20" s="835"/>
      <c r="V20" s="835"/>
      <c r="W20" s="836"/>
    </row>
    <row r="21" spans="9:23" ht="15.75" thickBot="1" x14ac:dyDescent="0.3">
      <c r="I21" s="845"/>
      <c r="J21" s="155" t="s">
        <v>903</v>
      </c>
      <c r="K21" s="156"/>
      <c r="L21" s="156"/>
      <c r="M21" s="156"/>
      <c r="N21" s="552"/>
      <c r="O21" s="845"/>
      <c r="P21" s="155" t="s">
        <v>903</v>
      </c>
      <c r="Q21" s="375"/>
      <c r="R21" s="375"/>
      <c r="S21" s="375"/>
      <c r="T21" s="823"/>
      <c r="U21" s="824"/>
      <c r="V21" s="824"/>
      <c r="W21" s="825"/>
    </row>
    <row r="22" spans="9:23" x14ac:dyDescent="0.25">
      <c r="I22" s="843">
        <v>5</v>
      </c>
      <c r="J22" s="143" t="s">
        <v>896</v>
      </c>
      <c r="K22" s="145"/>
      <c r="L22" s="144"/>
      <c r="M22" s="144"/>
      <c r="N22" s="550"/>
      <c r="O22" s="843">
        <v>5</v>
      </c>
      <c r="P22" s="143" t="s">
        <v>896</v>
      </c>
      <c r="Q22" s="624"/>
      <c r="R22" s="624"/>
      <c r="S22" s="624"/>
      <c r="T22" s="837"/>
      <c r="U22" s="838"/>
      <c r="V22" s="838"/>
      <c r="W22" s="839"/>
    </row>
    <row r="23" spans="9:23" x14ac:dyDescent="0.25">
      <c r="I23" s="844"/>
      <c r="J23" s="147" t="s">
        <v>897</v>
      </c>
      <c r="K23" s="149"/>
      <c r="L23" s="148"/>
      <c r="M23" s="148"/>
      <c r="N23" s="551"/>
      <c r="O23" s="844"/>
      <c r="P23" s="147" t="s">
        <v>897</v>
      </c>
      <c r="Q23" s="371"/>
      <c r="R23" s="371"/>
      <c r="S23" s="371"/>
      <c r="T23" s="834"/>
      <c r="U23" s="835"/>
      <c r="V23" s="835"/>
      <c r="W23" s="836"/>
    </row>
    <row r="24" spans="9:23" x14ac:dyDescent="0.25">
      <c r="I24" s="844"/>
      <c r="J24" s="147" t="s">
        <v>902</v>
      </c>
      <c r="K24" s="148"/>
      <c r="L24" s="148"/>
      <c r="M24" s="148"/>
      <c r="N24" s="551"/>
      <c r="O24" s="844"/>
      <c r="P24" s="147" t="s">
        <v>902</v>
      </c>
      <c r="Q24" s="371"/>
      <c r="R24" s="371"/>
      <c r="S24" s="371"/>
      <c r="T24" s="834"/>
      <c r="U24" s="835"/>
      <c r="V24" s="835"/>
      <c r="W24" s="836"/>
    </row>
    <row r="25" spans="9:23" ht="15.75" thickBot="1" x14ac:dyDescent="0.3">
      <c r="I25" s="845"/>
      <c r="J25" s="155" t="s">
        <v>903</v>
      </c>
      <c r="K25" s="156"/>
      <c r="L25" s="156"/>
      <c r="M25" s="156"/>
      <c r="N25" s="552"/>
      <c r="O25" s="845"/>
      <c r="P25" s="155" t="s">
        <v>903</v>
      </c>
      <c r="Q25" s="375"/>
      <c r="R25" s="375"/>
      <c r="S25" s="375"/>
      <c r="T25" s="823"/>
      <c r="U25" s="824"/>
      <c r="V25" s="824"/>
      <c r="W25" s="825"/>
    </row>
    <row r="26" spans="9:23" x14ac:dyDescent="0.25">
      <c r="I26" s="843">
        <v>6</v>
      </c>
      <c r="J26" s="143" t="s">
        <v>896</v>
      </c>
      <c r="K26" s="145"/>
      <c r="L26" s="144" t="s">
        <v>1240</v>
      </c>
      <c r="M26" s="144" t="s">
        <v>258</v>
      </c>
      <c r="N26" s="550">
        <v>41647</v>
      </c>
      <c r="O26" s="843">
        <v>6</v>
      </c>
      <c r="P26" s="143" t="s">
        <v>896</v>
      </c>
      <c r="Q26" s="624" t="s">
        <v>1315</v>
      </c>
      <c r="R26" s="624"/>
      <c r="S26" s="625">
        <v>42065</v>
      </c>
      <c r="T26" s="837" t="s">
        <v>1316</v>
      </c>
      <c r="U26" s="838"/>
      <c r="V26" s="838"/>
      <c r="W26" s="839"/>
    </row>
    <row r="27" spans="9:23" x14ac:dyDescent="0.25">
      <c r="I27" s="844"/>
      <c r="J27" s="147" t="s">
        <v>897</v>
      </c>
      <c r="K27" s="149"/>
      <c r="L27" s="148"/>
      <c r="M27" s="148"/>
      <c r="N27" s="551"/>
      <c r="O27" s="844"/>
      <c r="P27" s="147" t="s">
        <v>897</v>
      </c>
      <c r="Q27" s="371" t="s">
        <v>1317</v>
      </c>
      <c r="R27" s="371"/>
      <c r="S27" s="554">
        <v>42087</v>
      </c>
      <c r="T27" s="834" t="s">
        <v>1318</v>
      </c>
      <c r="U27" s="835"/>
      <c r="V27" s="835"/>
      <c r="W27" s="836"/>
    </row>
    <row r="28" spans="9:23" x14ac:dyDescent="0.25">
      <c r="I28" s="844"/>
      <c r="J28" s="147" t="s">
        <v>902</v>
      </c>
      <c r="K28" s="148"/>
      <c r="L28" s="148"/>
      <c r="M28" s="148"/>
      <c r="N28" s="551"/>
      <c r="O28" s="844"/>
      <c r="P28" s="147" t="s">
        <v>902</v>
      </c>
      <c r="Q28" s="371"/>
      <c r="R28" s="371"/>
      <c r="S28" s="371"/>
      <c r="T28" s="834"/>
      <c r="U28" s="835"/>
      <c r="V28" s="835"/>
      <c r="W28" s="836"/>
    </row>
    <row r="29" spans="9:23" ht="15.75" thickBot="1" x14ac:dyDescent="0.3">
      <c r="I29" s="845"/>
      <c r="J29" s="155" t="s">
        <v>903</v>
      </c>
      <c r="K29" s="156"/>
      <c r="L29" s="156"/>
      <c r="M29" s="156"/>
      <c r="N29" s="552"/>
      <c r="O29" s="845"/>
      <c r="P29" s="155" t="s">
        <v>903</v>
      </c>
      <c r="Q29" s="375"/>
      <c r="R29" s="375"/>
      <c r="S29" s="375"/>
      <c r="T29" s="823"/>
      <c r="U29" s="824"/>
      <c r="V29" s="824"/>
      <c r="W29" s="825"/>
    </row>
    <row r="30" spans="9:23" ht="15.75" thickBot="1" x14ac:dyDescent="0.3">
      <c r="I30" s="843">
        <v>7</v>
      </c>
      <c r="J30" s="143" t="s">
        <v>896</v>
      </c>
      <c r="K30" s="145"/>
      <c r="L30" s="144" t="s">
        <v>1277</v>
      </c>
      <c r="M30" s="144" t="s">
        <v>1278</v>
      </c>
      <c r="N30" s="550">
        <v>41806</v>
      </c>
      <c r="O30" s="843">
        <v>7</v>
      </c>
      <c r="P30" s="143" t="s">
        <v>896</v>
      </c>
      <c r="Q30" s="624" t="s">
        <v>1282</v>
      </c>
      <c r="R30" s="624"/>
      <c r="S30" s="625">
        <v>42027</v>
      </c>
      <c r="T30" s="840" t="s">
        <v>1311</v>
      </c>
      <c r="U30" s="841"/>
      <c r="V30" s="841"/>
      <c r="W30" s="842"/>
    </row>
    <row r="31" spans="9:23" ht="15.75" thickBot="1" x14ac:dyDescent="0.3">
      <c r="I31" s="844"/>
      <c r="J31" s="147" t="s">
        <v>897</v>
      </c>
      <c r="K31" s="149"/>
      <c r="L31" s="144" t="s">
        <v>1277</v>
      </c>
      <c r="M31" s="144" t="s">
        <v>1278</v>
      </c>
      <c r="N31" s="550">
        <v>41806</v>
      </c>
      <c r="O31" s="844"/>
      <c r="P31" s="147" t="s">
        <v>897</v>
      </c>
      <c r="Q31" s="371"/>
      <c r="R31" s="371"/>
      <c r="S31" s="371"/>
      <c r="T31" s="834"/>
      <c r="U31" s="835"/>
      <c r="V31" s="835"/>
      <c r="W31" s="836"/>
    </row>
    <row r="32" spans="9:23" ht="15.75" thickBot="1" x14ac:dyDescent="0.3">
      <c r="I32" s="844"/>
      <c r="J32" s="147" t="s">
        <v>902</v>
      </c>
      <c r="K32" s="148"/>
      <c r="L32" s="144" t="s">
        <v>1282</v>
      </c>
      <c r="M32" s="144" t="s">
        <v>1301</v>
      </c>
      <c r="N32" s="550">
        <v>41953</v>
      </c>
      <c r="O32" s="844"/>
      <c r="P32" s="147" t="s">
        <v>902</v>
      </c>
      <c r="Q32" s="371"/>
      <c r="R32" s="371"/>
      <c r="S32" s="371"/>
      <c r="T32" s="834"/>
      <c r="U32" s="835"/>
      <c r="V32" s="835"/>
      <c r="W32" s="836"/>
    </row>
    <row r="33" spans="9:23" ht="15.75" thickBot="1" x14ac:dyDescent="0.3">
      <c r="I33" s="845"/>
      <c r="J33" s="155" t="s">
        <v>903</v>
      </c>
      <c r="K33" s="156"/>
      <c r="L33" s="144"/>
      <c r="M33" s="144"/>
      <c r="N33" s="550"/>
      <c r="O33" s="845"/>
      <c r="P33" s="155" t="s">
        <v>903</v>
      </c>
      <c r="Q33" s="375"/>
      <c r="R33" s="375"/>
      <c r="S33" s="375"/>
      <c r="T33" s="823"/>
      <c r="U33" s="824"/>
      <c r="V33" s="824"/>
      <c r="W33" s="825"/>
    </row>
    <row r="34" spans="9:23" x14ac:dyDescent="0.25">
      <c r="I34" s="843">
        <v>8</v>
      </c>
      <c r="J34" s="143" t="s">
        <v>896</v>
      </c>
      <c r="K34" s="145"/>
      <c r="L34" s="144"/>
      <c r="M34" s="144"/>
      <c r="N34" s="550"/>
      <c r="O34" s="843">
        <v>8</v>
      </c>
      <c r="P34" s="143" t="s">
        <v>896</v>
      </c>
      <c r="Q34" s="624"/>
      <c r="R34" s="624"/>
      <c r="S34" s="624"/>
      <c r="T34" s="837"/>
      <c r="U34" s="838"/>
      <c r="V34" s="838"/>
      <c r="W34" s="839"/>
    </row>
    <row r="35" spans="9:23" x14ac:dyDescent="0.25">
      <c r="I35" s="844"/>
      <c r="J35" s="147" t="s">
        <v>897</v>
      </c>
      <c r="K35" s="149"/>
      <c r="L35" s="148"/>
      <c r="M35" s="148"/>
      <c r="N35" s="551"/>
      <c r="O35" s="844"/>
      <c r="P35" s="147" t="s">
        <v>897</v>
      </c>
      <c r="Q35" s="371"/>
      <c r="R35" s="371"/>
      <c r="S35" s="371"/>
      <c r="T35" s="834"/>
      <c r="U35" s="835"/>
      <c r="V35" s="835"/>
      <c r="W35" s="836"/>
    </row>
    <row r="36" spans="9:23" x14ac:dyDescent="0.25">
      <c r="I36" s="844"/>
      <c r="J36" s="147" t="s">
        <v>902</v>
      </c>
      <c r="K36" s="148"/>
      <c r="L36" s="148"/>
      <c r="M36" s="148"/>
      <c r="N36" s="551"/>
      <c r="O36" s="844"/>
      <c r="P36" s="147" t="s">
        <v>902</v>
      </c>
      <c r="Q36" s="371"/>
      <c r="R36" s="371"/>
      <c r="S36" s="371"/>
      <c r="T36" s="834"/>
      <c r="U36" s="835"/>
      <c r="V36" s="835"/>
      <c r="W36" s="836"/>
    </row>
    <row r="37" spans="9:23" ht="15.75" thickBot="1" x14ac:dyDescent="0.3">
      <c r="I37" s="845"/>
      <c r="J37" s="155" t="s">
        <v>903</v>
      </c>
      <c r="K37" s="156"/>
      <c r="L37" s="156"/>
      <c r="M37" s="156"/>
      <c r="N37" s="552"/>
      <c r="O37" s="845"/>
      <c r="P37" s="155" t="s">
        <v>903</v>
      </c>
      <c r="Q37" s="375"/>
      <c r="R37" s="375"/>
      <c r="S37" s="375"/>
      <c r="T37" s="823"/>
      <c r="U37" s="824"/>
      <c r="V37" s="824"/>
      <c r="W37" s="825"/>
    </row>
    <row r="38" spans="9:23" ht="15.75" thickBot="1" x14ac:dyDescent="0.3">
      <c r="I38" s="843">
        <v>9</v>
      </c>
      <c r="J38" s="143" t="s">
        <v>896</v>
      </c>
      <c r="K38" s="145"/>
      <c r="L38" s="144" t="s">
        <v>1277</v>
      </c>
      <c r="M38" s="144" t="s">
        <v>1278</v>
      </c>
      <c r="N38" s="550">
        <v>41806</v>
      </c>
      <c r="O38" s="843">
        <v>9</v>
      </c>
      <c r="P38" s="143" t="s">
        <v>896</v>
      </c>
      <c r="Q38" s="624"/>
      <c r="R38" s="624"/>
      <c r="S38" s="624"/>
      <c r="T38" s="837"/>
      <c r="U38" s="838"/>
      <c r="V38" s="838"/>
      <c r="W38" s="839"/>
    </row>
    <row r="39" spans="9:23" ht="15.75" thickBot="1" x14ac:dyDescent="0.3">
      <c r="I39" s="844"/>
      <c r="J39" s="147" t="s">
        <v>897</v>
      </c>
      <c r="K39" s="149"/>
      <c r="L39" s="144" t="s">
        <v>1277</v>
      </c>
      <c r="M39" s="144" t="s">
        <v>1278</v>
      </c>
      <c r="N39" s="550">
        <v>41806</v>
      </c>
      <c r="O39" s="844"/>
      <c r="P39" s="147" t="s">
        <v>897</v>
      </c>
      <c r="Q39" s="371"/>
      <c r="R39" s="371"/>
      <c r="S39" s="371"/>
      <c r="T39" s="834"/>
      <c r="U39" s="835"/>
      <c r="V39" s="835"/>
      <c r="W39" s="836"/>
    </row>
    <row r="40" spans="9:23" ht="15.75" thickBot="1" x14ac:dyDescent="0.3">
      <c r="I40" s="844"/>
      <c r="J40" s="147" t="s">
        <v>902</v>
      </c>
      <c r="K40" s="148"/>
      <c r="L40" s="144" t="s">
        <v>1277</v>
      </c>
      <c r="M40" s="144" t="s">
        <v>1278</v>
      </c>
      <c r="N40" s="550">
        <v>41806</v>
      </c>
      <c r="O40" s="844"/>
      <c r="P40" s="147" t="s">
        <v>902</v>
      </c>
      <c r="Q40" s="371"/>
      <c r="R40" s="371"/>
      <c r="S40" s="371"/>
      <c r="T40" s="834"/>
      <c r="U40" s="835"/>
      <c r="V40" s="835"/>
      <c r="W40" s="836"/>
    </row>
    <row r="41" spans="9:23" ht="15.75" thickBot="1" x14ac:dyDescent="0.3">
      <c r="I41" s="845"/>
      <c r="J41" s="155" t="s">
        <v>903</v>
      </c>
      <c r="K41" s="156"/>
      <c r="L41" s="144" t="s">
        <v>1277</v>
      </c>
      <c r="M41" s="144" t="s">
        <v>1278</v>
      </c>
      <c r="N41" s="550">
        <v>41806</v>
      </c>
      <c r="O41" s="845"/>
      <c r="P41" s="155" t="s">
        <v>903</v>
      </c>
      <c r="Q41" s="375"/>
      <c r="R41" s="375"/>
      <c r="S41" s="375"/>
      <c r="T41" s="823"/>
      <c r="U41" s="824"/>
      <c r="V41" s="824"/>
      <c r="W41" s="825"/>
    </row>
    <row r="42" spans="9:23" ht="15.75" thickBot="1" x14ac:dyDescent="0.3">
      <c r="I42" s="843">
        <v>10</v>
      </c>
      <c r="J42" s="143" t="s">
        <v>896</v>
      </c>
      <c r="K42" s="145"/>
      <c r="L42" s="144" t="s">
        <v>1282</v>
      </c>
      <c r="M42" s="144" t="s">
        <v>1283</v>
      </c>
      <c r="N42" s="550">
        <v>41869</v>
      </c>
      <c r="O42" s="843">
        <v>10</v>
      </c>
      <c r="P42" s="143" t="s">
        <v>896</v>
      </c>
      <c r="Q42" s="624" t="s">
        <v>1355</v>
      </c>
      <c r="R42" s="624" t="s">
        <v>1356</v>
      </c>
      <c r="S42" s="625">
        <v>42101</v>
      </c>
      <c r="T42" s="837" t="s">
        <v>1357</v>
      </c>
      <c r="U42" s="838"/>
      <c r="V42" s="838"/>
      <c r="W42" s="839"/>
    </row>
    <row r="43" spans="9:23" x14ac:dyDescent="0.25">
      <c r="I43" s="844"/>
      <c r="J43" s="147" t="s">
        <v>897</v>
      </c>
      <c r="K43" s="149"/>
      <c r="L43" s="144" t="s">
        <v>1282</v>
      </c>
      <c r="M43" s="144" t="s">
        <v>1283</v>
      </c>
      <c r="N43" s="551">
        <v>41869</v>
      </c>
      <c r="O43" s="844"/>
      <c r="P43" s="147" t="s">
        <v>897</v>
      </c>
      <c r="Q43" s="371" t="s">
        <v>1355</v>
      </c>
      <c r="R43" s="371" t="s">
        <v>1356</v>
      </c>
      <c r="S43" s="554">
        <v>42101</v>
      </c>
      <c r="T43" s="834" t="s">
        <v>1357</v>
      </c>
      <c r="U43" s="835"/>
      <c r="V43" s="835"/>
      <c r="W43" s="836"/>
    </row>
    <row r="44" spans="9:23" x14ac:dyDescent="0.25">
      <c r="I44" s="844"/>
      <c r="J44" s="147" t="s">
        <v>902</v>
      </c>
      <c r="K44" s="148"/>
      <c r="L44" s="148" t="s">
        <v>1302</v>
      </c>
      <c r="M44" s="148"/>
      <c r="N44" s="551">
        <v>41953</v>
      </c>
      <c r="O44" s="844"/>
      <c r="P44" s="147" t="s">
        <v>902</v>
      </c>
      <c r="Q44" s="371"/>
      <c r="R44" s="371"/>
      <c r="S44" s="371"/>
      <c r="T44" s="834"/>
      <c r="U44" s="835"/>
      <c r="V44" s="835"/>
      <c r="W44" s="836"/>
    </row>
    <row r="45" spans="9:23" ht="15.75" thickBot="1" x14ac:dyDescent="0.3">
      <c r="I45" s="845"/>
      <c r="J45" s="155" t="s">
        <v>903</v>
      </c>
      <c r="K45" s="156"/>
      <c r="L45" s="156"/>
      <c r="M45" s="156"/>
      <c r="N45" s="552"/>
      <c r="O45" s="845"/>
      <c r="P45" s="155" t="s">
        <v>903</v>
      </c>
      <c r="Q45" s="375"/>
      <c r="R45" s="375"/>
      <c r="S45" s="375"/>
      <c r="T45" s="823"/>
      <c r="U45" s="824"/>
      <c r="V45" s="824"/>
      <c r="W45" s="825"/>
    </row>
    <row r="46" spans="9:23" x14ac:dyDescent="0.25">
      <c r="I46" s="843">
        <v>11</v>
      </c>
      <c r="J46" s="143" t="s">
        <v>896</v>
      </c>
      <c r="K46" s="145"/>
      <c r="L46" s="144"/>
      <c r="M46" s="144"/>
      <c r="N46" s="550"/>
      <c r="O46" s="843">
        <v>11</v>
      </c>
      <c r="P46" s="143" t="s">
        <v>896</v>
      </c>
      <c r="Q46" s="624"/>
      <c r="R46" s="624"/>
      <c r="S46" s="624"/>
      <c r="T46" s="837"/>
      <c r="U46" s="838"/>
      <c r="V46" s="838"/>
      <c r="W46" s="839"/>
    </row>
    <row r="47" spans="9:23" x14ac:dyDescent="0.25">
      <c r="I47" s="844"/>
      <c r="J47" s="147" t="s">
        <v>897</v>
      </c>
      <c r="K47" s="149"/>
      <c r="L47" s="148"/>
      <c r="M47" s="148"/>
      <c r="N47" s="551"/>
      <c r="O47" s="844"/>
      <c r="P47" s="147" t="s">
        <v>897</v>
      </c>
      <c r="Q47" s="371"/>
      <c r="R47" s="371"/>
      <c r="S47" s="371"/>
      <c r="T47" s="834"/>
      <c r="U47" s="835"/>
      <c r="V47" s="835"/>
      <c r="W47" s="836"/>
    </row>
    <row r="48" spans="9:23" x14ac:dyDescent="0.25">
      <c r="I48" s="844"/>
      <c r="J48" s="147" t="s">
        <v>902</v>
      </c>
      <c r="K48" s="148"/>
      <c r="L48" s="148"/>
      <c r="M48" s="148"/>
      <c r="N48" s="551"/>
      <c r="O48" s="844"/>
      <c r="P48" s="147" t="s">
        <v>902</v>
      </c>
      <c r="Q48" s="371"/>
      <c r="R48" s="371"/>
      <c r="S48" s="371"/>
      <c r="T48" s="834"/>
      <c r="U48" s="835"/>
      <c r="V48" s="835"/>
      <c r="W48" s="836"/>
    </row>
    <row r="49" spans="9:23" ht="15.75" thickBot="1" x14ac:dyDescent="0.3">
      <c r="I49" s="845"/>
      <c r="J49" s="155" t="s">
        <v>903</v>
      </c>
      <c r="K49" s="156"/>
      <c r="L49" s="156"/>
      <c r="M49" s="156"/>
      <c r="N49" s="552"/>
      <c r="O49" s="845"/>
      <c r="P49" s="155" t="s">
        <v>903</v>
      </c>
      <c r="Q49" s="375"/>
      <c r="R49" s="375"/>
      <c r="S49" s="375"/>
      <c r="T49" s="823"/>
      <c r="U49" s="824"/>
      <c r="V49" s="824"/>
      <c r="W49" s="825"/>
    </row>
    <row r="50" spans="9:23" x14ac:dyDescent="0.25">
      <c r="I50" s="843">
        <v>12</v>
      </c>
      <c r="J50" s="143" t="s">
        <v>896</v>
      </c>
      <c r="K50" s="145"/>
      <c r="L50" s="144" t="s">
        <v>1282</v>
      </c>
      <c r="M50" s="144" t="s">
        <v>1301</v>
      </c>
      <c r="N50" s="550">
        <v>41953</v>
      </c>
      <c r="O50" s="843">
        <v>12</v>
      </c>
      <c r="P50" s="143" t="s">
        <v>896</v>
      </c>
      <c r="Q50" s="624" t="s">
        <v>1282</v>
      </c>
      <c r="R50" s="624"/>
      <c r="S50" s="625">
        <v>42027</v>
      </c>
      <c r="T50" s="837" t="s">
        <v>1312</v>
      </c>
      <c r="U50" s="838"/>
      <c r="V50" s="838"/>
      <c r="W50" s="839"/>
    </row>
    <row r="51" spans="9:23" x14ac:dyDescent="0.25">
      <c r="I51" s="844"/>
      <c r="J51" s="147" t="s">
        <v>897</v>
      </c>
      <c r="K51" s="149"/>
      <c r="L51" s="148"/>
      <c r="M51" s="148"/>
      <c r="N51" s="551"/>
      <c r="O51" s="844"/>
      <c r="P51" s="147" t="s">
        <v>897</v>
      </c>
      <c r="Q51" s="371"/>
      <c r="R51" s="371"/>
      <c r="S51" s="371"/>
      <c r="T51" s="834"/>
      <c r="U51" s="835"/>
      <c r="V51" s="835"/>
      <c r="W51" s="836"/>
    </row>
    <row r="52" spans="9:23" x14ac:dyDescent="0.25">
      <c r="I52" s="844"/>
      <c r="J52" s="147" t="s">
        <v>902</v>
      </c>
      <c r="K52" s="148"/>
      <c r="L52" s="148"/>
      <c r="M52" s="148"/>
      <c r="N52" s="551"/>
      <c r="O52" s="844"/>
      <c r="P52" s="147" t="s">
        <v>902</v>
      </c>
      <c r="Q52" s="371"/>
      <c r="R52" s="371"/>
      <c r="S52" s="371"/>
      <c r="T52" s="834"/>
      <c r="U52" s="835"/>
      <c r="V52" s="835"/>
      <c r="W52" s="836"/>
    </row>
    <row r="53" spans="9:23" ht="15.75" thickBot="1" x14ac:dyDescent="0.3">
      <c r="I53" s="845"/>
      <c r="J53" s="155" t="s">
        <v>903</v>
      </c>
      <c r="K53" s="156"/>
      <c r="L53" s="156"/>
      <c r="M53" s="156"/>
      <c r="N53" s="552"/>
      <c r="O53" s="845"/>
      <c r="P53" s="155" t="s">
        <v>903</v>
      </c>
      <c r="Q53" s="375"/>
      <c r="R53" s="375"/>
      <c r="S53" s="375"/>
      <c r="T53" s="823"/>
      <c r="U53" s="824"/>
      <c r="V53" s="824"/>
      <c r="W53" s="825"/>
    </row>
    <row r="54" spans="9:23" x14ac:dyDescent="0.25">
      <c r="I54" s="843">
        <v>13</v>
      </c>
      <c r="J54" s="143" t="s">
        <v>896</v>
      </c>
      <c r="K54" s="145"/>
      <c r="L54" s="144"/>
      <c r="M54" s="144"/>
      <c r="N54" s="550"/>
      <c r="O54" s="843">
        <v>13</v>
      </c>
      <c r="P54" s="143" t="s">
        <v>896</v>
      </c>
      <c r="Q54" s="624" t="s">
        <v>1313</v>
      </c>
      <c r="R54" s="624"/>
      <c r="S54" s="625">
        <v>42027</v>
      </c>
      <c r="T54" s="837" t="s">
        <v>1314</v>
      </c>
      <c r="U54" s="838"/>
      <c r="V54" s="838"/>
      <c r="W54" s="839"/>
    </row>
    <row r="55" spans="9:23" x14ac:dyDescent="0.25">
      <c r="I55" s="844"/>
      <c r="J55" s="147" t="s">
        <v>897</v>
      </c>
      <c r="K55" s="149"/>
      <c r="L55" s="148"/>
      <c r="M55" s="148"/>
      <c r="N55" s="551"/>
      <c r="O55" s="844"/>
      <c r="P55" s="147" t="s">
        <v>897</v>
      </c>
      <c r="Q55" s="371"/>
      <c r="R55" s="371"/>
      <c r="S55" s="371"/>
      <c r="T55" s="834"/>
      <c r="U55" s="835"/>
      <c r="V55" s="835"/>
      <c r="W55" s="836"/>
    </row>
    <row r="56" spans="9:23" x14ac:dyDescent="0.25">
      <c r="I56" s="844"/>
      <c r="J56" s="147" t="s">
        <v>902</v>
      </c>
      <c r="K56" s="148"/>
      <c r="L56" s="148"/>
      <c r="M56" s="148"/>
      <c r="N56" s="551"/>
      <c r="O56" s="844"/>
      <c r="P56" s="147" t="s">
        <v>902</v>
      </c>
      <c r="Q56" s="371"/>
      <c r="R56" s="371"/>
      <c r="S56" s="371"/>
      <c r="T56" s="834"/>
      <c r="U56" s="835"/>
      <c r="V56" s="835"/>
      <c r="W56" s="836"/>
    </row>
    <row r="57" spans="9:23" ht="15.75" thickBot="1" x14ac:dyDescent="0.3">
      <c r="I57" s="845"/>
      <c r="J57" s="155" t="s">
        <v>903</v>
      </c>
      <c r="K57" s="156"/>
      <c r="L57" s="156"/>
      <c r="M57" s="156"/>
      <c r="N57" s="552"/>
      <c r="O57" s="845"/>
      <c r="P57" s="155" t="s">
        <v>903</v>
      </c>
      <c r="Q57" s="375"/>
      <c r="R57" s="375"/>
      <c r="S57" s="375"/>
      <c r="T57" s="823"/>
      <c r="U57" s="824"/>
      <c r="V57" s="824"/>
      <c r="W57" s="825"/>
    </row>
    <row r="58" spans="9:23" x14ac:dyDescent="0.25">
      <c r="I58" s="843">
        <v>14</v>
      </c>
      <c r="J58" s="143" t="s">
        <v>896</v>
      </c>
      <c r="K58" s="145"/>
      <c r="L58" s="144"/>
      <c r="M58" s="144"/>
      <c r="N58" s="550"/>
      <c r="O58" s="843">
        <v>14</v>
      </c>
      <c r="P58" s="143" t="s">
        <v>896</v>
      </c>
      <c r="Q58" s="624"/>
      <c r="R58" s="624"/>
      <c r="S58" s="624"/>
      <c r="T58" s="837"/>
      <c r="U58" s="838"/>
      <c r="V58" s="838"/>
      <c r="W58" s="839"/>
    </row>
    <row r="59" spans="9:23" x14ac:dyDescent="0.25">
      <c r="I59" s="844"/>
      <c r="J59" s="147" t="s">
        <v>897</v>
      </c>
      <c r="K59" s="149"/>
      <c r="L59" s="148"/>
      <c r="M59" s="148"/>
      <c r="N59" s="551"/>
      <c r="O59" s="844"/>
      <c r="P59" s="147" t="s">
        <v>897</v>
      </c>
      <c r="Q59" s="371"/>
      <c r="R59" s="371"/>
      <c r="S59" s="371"/>
      <c r="T59" s="834"/>
      <c r="U59" s="835"/>
      <c r="V59" s="835"/>
      <c r="W59" s="836"/>
    </row>
    <row r="60" spans="9:23" x14ac:dyDescent="0.25">
      <c r="I60" s="844"/>
      <c r="J60" s="147" t="s">
        <v>902</v>
      </c>
      <c r="K60" s="148"/>
      <c r="L60" s="148"/>
      <c r="M60" s="148"/>
      <c r="N60" s="551"/>
      <c r="O60" s="844"/>
      <c r="P60" s="147" t="s">
        <v>902</v>
      </c>
      <c r="Q60" s="371"/>
      <c r="R60" s="371"/>
      <c r="S60" s="371"/>
      <c r="T60" s="834"/>
      <c r="U60" s="835"/>
      <c r="V60" s="835"/>
      <c r="W60" s="836"/>
    </row>
    <row r="61" spans="9:23" ht="15.75" thickBot="1" x14ac:dyDescent="0.3">
      <c r="I61" s="845"/>
      <c r="J61" s="155" t="s">
        <v>903</v>
      </c>
      <c r="K61" s="156"/>
      <c r="L61" s="156"/>
      <c r="M61" s="156"/>
      <c r="N61" s="552"/>
      <c r="O61" s="845"/>
      <c r="P61" s="155" t="s">
        <v>903</v>
      </c>
      <c r="Q61" s="375"/>
      <c r="R61" s="375"/>
      <c r="S61" s="375"/>
      <c r="T61" s="823"/>
      <c r="U61" s="824"/>
      <c r="V61" s="824"/>
      <c r="W61" s="825"/>
    </row>
    <row r="62" spans="9:23" x14ac:dyDescent="0.25">
      <c r="I62" s="843">
        <v>15</v>
      </c>
      <c r="J62" s="143" t="s">
        <v>896</v>
      </c>
      <c r="K62" s="145"/>
      <c r="L62" s="144" t="s">
        <v>1240</v>
      </c>
      <c r="M62" s="144" t="s">
        <v>1248</v>
      </c>
      <c r="N62" s="550">
        <v>41647</v>
      </c>
      <c r="O62" s="843">
        <v>15</v>
      </c>
      <c r="P62" s="143" t="s">
        <v>896</v>
      </c>
      <c r="Q62" s="624"/>
      <c r="R62" s="624"/>
      <c r="S62" s="624"/>
      <c r="T62" s="837"/>
      <c r="U62" s="838"/>
      <c r="V62" s="838"/>
      <c r="W62" s="839"/>
    </row>
    <row r="63" spans="9:23" x14ac:dyDescent="0.25">
      <c r="I63" s="844"/>
      <c r="J63" s="147" t="s">
        <v>897</v>
      </c>
      <c r="K63" s="149"/>
      <c r="L63" s="148"/>
      <c r="M63" s="148"/>
      <c r="N63" s="551"/>
      <c r="O63" s="844"/>
      <c r="P63" s="147" t="s">
        <v>897</v>
      </c>
      <c r="Q63" s="371"/>
      <c r="R63" s="371"/>
      <c r="S63" s="371"/>
      <c r="T63" s="834"/>
      <c r="U63" s="835"/>
      <c r="V63" s="835"/>
      <c r="W63" s="836"/>
    </row>
    <row r="64" spans="9:23" x14ac:dyDescent="0.25">
      <c r="I64" s="844"/>
      <c r="J64" s="147" t="s">
        <v>902</v>
      </c>
      <c r="K64" s="148"/>
      <c r="L64" s="148"/>
      <c r="M64" s="148"/>
      <c r="N64" s="551"/>
      <c r="O64" s="844"/>
      <c r="P64" s="147" t="s">
        <v>902</v>
      </c>
      <c r="Q64" s="371"/>
      <c r="R64" s="371"/>
      <c r="S64" s="371"/>
      <c r="T64" s="834"/>
      <c r="U64" s="835"/>
      <c r="V64" s="835"/>
      <c r="W64" s="836"/>
    </row>
    <row r="65" spans="9:23" ht="15.75" thickBot="1" x14ac:dyDescent="0.3">
      <c r="I65" s="845"/>
      <c r="J65" s="155" t="s">
        <v>903</v>
      </c>
      <c r="K65" s="156"/>
      <c r="L65" s="156"/>
      <c r="M65" s="156"/>
      <c r="N65" s="552"/>
      <c r="O65" s="845"/>
      <c r="P65" s="155" t="s">
        <v>903</v>
      </c>
      <c r="Q65" s="375"/>
      <c r="R65" s="375"/>
      <c r="S65" s="375"/>
      <c r="T65" s="823"/>
      <c r="U65" s="824"/>
      <c r="V65" s="824"/>
      <c r="W65" s="825"/>
    </row>
    <row r="66" spans="9:23" x14ac:dyDescent="0.25">
      <c r="I66" s="843">
        <v>16</v>
      </c>
      <c r="J66" s="143" t="s">
        <v>896</v>
      </c>
      <c r="K66" s="145"/>
      <c r="L66" s="144"/>
      <c r="M66" s="144"/>
      <c r="N66" s="550"/>
      <c r="O66" s="843">
        <v>16</v>
      </c>
      <c r="P66" s="143" t="s">
        <v>896</v>
      </c>
      <c r="Q66" s="624"/>
      <c r="R66" s="624"/>
      <c r="S66" s="624"/>
      <c r="T66" s="837"/>
      <c r="U66" s="838"/>
      <c r="V66" s="838"/>
      <c r="W66" s="839"/>
    </row>
    <row r="67" spans="9:23" x14ac:dyDescent="0.25">
      <c r="I67" s="844"/>
      <c r="J67" s="147" t="s">
        <v>897</v>
      </c>
      <c r="K67" s="149"/>
      <c r="L67" s="148"/>
      <c r="M67" s="148"/>
      <c r="N67" s="551"/>
      <c r="O67" s="844"/>
      <c r="P67" s="147" t="s">
        <v>897</v>
      </c>
      <c r="Q67" s="371"/>
      <c r="R67" s="371"/>
      <c r="S67" s="371"/>
      <c r="T67" s="834"/>
      <c r="U67" s="835"/>
      <c r="V67" s="835"/>
      <c r="W67" s="836"/>
    </row>
    <row r="68" spans="9:23" x14ac:dyDescent="0.25">
      <c r="I68" s="844"/>
      <c r="J68" s="147" t="s">
        <v>902</v>
      </c>
      <c r="K68" s="148"/>
      <c r="L68" s="148"/>
      <c r="M68" s="148"/>
      <c r="N68" s="551"/>
      <c r="O68" s="844"/>
      <c r="P68" s="147" t="s">
        <v>902</v>
      </c>
      <c r="Q68" s="371"/>
      <c r="R68" s="371"/>
      <c r="S68" s="371"/>
      <c r="T68" s="834"/>
      <c r="U68" s="835"/>
      <c r="V68" s="835"/>
      <c r="W68" s="836"/>
    </row>
    <row r="69" spans="9:23" ht="15.75" thickBot="1" x14ac:dyDescent="0.3">
      <c r="I69" s="845"/>
      <c r="J69" s="155" t="s">
        <v>903</v>
      </c>
      <c r="K69" s="156"/>
      <c r="L69" s="156"/>
      <c r="M69" s="156"/>
      <c r="N69" s="552"/>
      <c r="O69" s="845"/>
      <c r="P69" s="155" t="s">
        <v>903</v>
      </c>
      <c r="Q69" s="375"/>
      <c r="R69" s="375"/>
      <c r="S69" s="375"/>
      <c r="T69" s="823"/>
      <c r="U69" s="824"/>
      <c r="V69" s="824"/>
      <c r="W69" s="825"/>
    </row>
    <row r="70" spans="9:23" x14ac:dyDescent="0.25">
      <c r="I70" s="843">
        <v>17</v>
      </c>
      <c r="J70" s="143" t="s">
        <v>896</v>
      </c>
      <c r="K70" s="145"/>
      <c r="L70" s="144" t="s">
        <v>1273</v>
      </c>
      <c r="M70" s="144" t="s">
        <v>1272</v>
      </c>
      <c r="N70" s="550">
        <v>41807</v>
      </c>
      <c r="O70" s="843">
        <v>17</v>
      </c>
      <c r="P70" s="143" t="s">
        <v>896</v>
      </c>
      <c r="Q70" s="624"/>
      <c r="R70" s="624"/>
      <c r="S70" s="624"/>
      <c r="T70" s="837"/>
      <c r="U70" s="838"/>
      <c r="V70" s="838"/>
      <c r="W70" s="839"/>
    </row>
    <row r="71" spans="9:23" x14ac:dyDescent="0.25">
      <c r="I71" s="844"/>
      <c r="J71" s="147" t="s">
        <v>897</v>
      </c>
      <c r="K71" s="149"/>
      <c r="L71" s="148" t="s">
        <v>392</v>
      </c>
      <c r="M71" s="148" t="s">
        <v>258</v>
      </c>
      <c r="N71" s="551">
        <v>41883</v>
      </c>
      <c r="O71" s="844"/>
      <c r="P71" s="147" t="s">
        <v>897</v>
      </c>
      <c r="Q71" s="371"/>
      <c r="R71" s="371"/>
      <c r="S71" s="371"/>
      <c r="T71" s="834"/>
      <c r="U71" s="835"/>
      <c r="V71" s="835"/>
      <c r="W71" s="836"/>
    </row>
    <row r="72" spans="9:23" x14ac:dyDescent="0.25">
      <c r="I72" s="844"/>
      <c r="J72" s="147" t="s">
        <v>902</v>
      </c>
      <c r="K72" s="148"/>
      <c r="L72" s="148"/>
      <c r="M72" s="148"/>
      <c r="N72" s="551"/>
      <c r="O72" s="844"/>
      <c r="P72" s="147" t="s">
        <v>902</v>
      </c>
      <c r="Q72" s="371"/>
      <c r="R72" s="371"/>
      <c r="S72" s="371"/>
      <c r="T72" s="834"/>
      <c r="U72" s="835"/>
      <c r="V72" s="835"/>
      <c r="W72" s="836"/>
    </row>
    <row r="73" spans="9:23" ht="15.75" thickBot="1" x14ac:dyDescent="0.3">
      <c r="I73" s="845"/>
      <c r="J73" s="155" t="s">
        <v>903</v>
      </c>
      <c r="K73" s="156"/>
      <c r="L73" s="156"/>
      <c r="M73" s="156"/>
      <c r="N73" s="552"/>
      <c r="O73" s="845"/>
      <c r="P73" s="155" t="s">
        <v>903</v>
      </c>
      <c r="Q73" s="375"/>
      <c r="R73" s="375"/>
      <c r="S73" s="375"/>
      <c r="T73" s="823"/>
      <c r="U73" s="824"/>
      <c r="V73" s="824"/>
      <c r="W73" s="825"/>
    </row>
    <row r="74" spans="9:23" ht="15.75" thickBot="1" x14ac:dyDescent="0.3">
      <c r="I74" s="843">
        <v>18</v>
      </c>
      <c r="J74" s="143" t="s">
        <v>896</v>
      </c>
      <c r="K74" s="145"/>
      <c r="L74" s="144" t="s">
        <v>392</v>
      </c>
      <c r="M74" s="144" t="s">
        <v>258</v>
      </c>
      <c r="N74" s="550">
        <v>41884</v>
      </c>
      <c r="O74" s="843">
        <v>18</v>
      </c>
      <c r="P74" s="143" t="s">
        <v>896</v>
      </c>
      <c r="Q74" s="624"/>
      <c r="R74" s="624"/>
      <c r="S74" s="624"/>
      <c r="T74" s="837"/>
      <c r="U74" s="838"/>
      <c r="V74" s="838"/>
      <c r="W74" s="839"/>
    </row>
    <row r="75" spans="9:23" x14ac:dyDescent="0.25">
      <c r="I75" s="844"/>
      <c r="J75" s="147" t="s">
        <v>897</v>
      </c>
      <c r="K75" s="149"/>
      <c r="L75" s="144" t="s">
        <v>392</v>
      </c>
      <c r="M75" s="144" t="s">
        <v>258</v>
      </c>
      <c r="N75" s="551">
        <v>41883</v>
      </c>
      <c r="O75" s="844"/>
      <c r="P75" s="147" t="s">
        <v>897</v>
      </c>
      <c r="Q75" s="371"/>
      <c r="R75" s="371"/>
      <c r="S75" s="371"/>
      <c r="T75" s="834"/>
      <c r="U75" s="835"/>
      <c r="V75" s="835"/>
      <c r="W75" s="836"/>
    </row>
    <row r="76" spans="9:23" x14ac:dyDescent="0.25">
      <c r="I76" s="844"/>
      <c r="J76" s="147" t="s">
        <v>902</v>
      </c>
      <c r="K76" s="148"/>
      <c r="L76" s="148"/>
      <c r="M76" s="148"/>
      <c r="N76" s="551"/>
      <c r="O76" s="844"/>
      <c r="P76" s="147" t="s">
        <v>902</v>
      </c>
      <c r="Q76" s="371"/>
      <c r="R76" s="371"/>
      <c r="S76" s="371"/>
      <c r="T76" s="834"/>
      <c r="U76" s="835"/>
      <c r="V76" s="835"/>
      <c r="W76" s="836"/>
    </row>
    <row r="77" spans="9:23" ht="15.75" thickBot="1" x14ac:dyDescent="0.3">
      <c r="I77" s="845"/>
      <c r="J77" s="155" t="s">
        <v>903</v>
      </c>
      <c r="K77" s="156"/>
      <c r="L77" s="156"/>
      <c r="M77" s="156"/>
      <c r="N77" s="552"/>
      <c r="O77" s="845"/>
      <c r="P77" s="155" t="s">
        <v>903</v>
      </c>
      <c r="Q77" s="375"/>
      <c r="R77" s="375"/>
      <c r="S77" s="375"/>
      <c r="T77" s="823"/>
      <c r="U77" s="824"/>
      <c r="V77" s="824"/>
      <c r="W77" s="825"/>
    </row>
    <row r="78" spans="9:23" ht="15.75" thickBot="1" x14ac:dyDescent="0.3">
      <c r="I78" s="843">
        <v>19</v>
      </c>
      <c r="J78" s="143" t="s">
        <v>896</v>
      </c>
      <c r="K78" s="145"/>
      <c r="L78" s="144" t="s">
        <v>392</v>
      </c>
      <c r="M78" s="144" t="s">
        <v>258</v>
      </c>
      <c r="N78" s="550">
        <v>41891</v>
      </c>
      <c r="O78" s="843">
        <v>19</v>
      </c>
      <c r="P78" s="143" t="s">
        <v>896</v>
      </c>
      <c r="Q78" s="624"/>
      <c r="R78" s="624"/>
      <c r="S78" s="624"/>
      <c r="T78" s="837"/>
      <c r="U78" s="838"/>
      <c r="V78" s="838"/>
      <c r="W78" s="839"/>
    </row>
    <row r="79" spans="9:23" x14ac:dyDescent="0.25">
      <c r="I79" s="844"/>
      <c r="J79" s="147" t="s">
        <v>897</v>
      </c>
      <c r="K79" s="149"/>
      <c r="L79" s="144" t="s">
        <v>392</v>
      </c>
      <c r="M79" s="144" t="s">
        <v>258</v>
      </c>
      <c r="N79" s="551">
        <v>41884</v>
      </c>
      <c r="O79" s="844"/>
      <c r="P79" s="147" t="s">
        <v>897</v>
      </c>
      <c r="Q79" s="371"/>
      <c r="R79" s="371"/>
      <c r="S79" s="371"/>
      <c r="T79" s="834"/>
      <c r="U79" s="835"/>
      <c r="V79" s="835"/>
      <c r="W79" s="836"/>
    </row>
    <row r="80" spans="9:23" x14ac:dyDescent="0.25">
      <c r="I80" s="844"/>
      <c r="J80" s="147" t="s">
        <v>902</v>
      </c>
      <c r="K80" s="148"/>
      <c r="L80" s="148"/>
      <c r="M80" s="148"/>
      <c r="N80" s="551"/>
      <c r="O80" s="844"/>
      <c r="P80" s="147" t="s">
        <v>902</v>
      </c>
      <c r="Q80" s="371"/>
      <c r="R80" s="371"/>
      <c r="S80" s="371"/>
      <c r="T80" s="834"/>
      <c r="U80" s="835"/>
      <c r="V80" s="835"/>
      <c r="W80" s="836"/>
    </row>
    <row r="81" spans="9:23" ht="15.75" thickBot="1" x14ac:dyDescent="0.3">
      <c r="I81" s="845"/>
      <c r="J81" s="155" t="s">
        <v>903</v>
      </c>
      <c r="K81" s="156"/>
      <c r="L81" s="156"/>
      <c r="M81" s="156"/>
      <c r="N81" s="552"/>
      <c r="O81" s="845"/>
      <c r="P81" s="155" t="s">
        <v>903</v>
      </c>
      <c r="Q81" s="371"/>
      <c r="R81" s="371"/>
      <c r="S81" s="371"/>
      <c r="T81" s="834"/>
      <c r="U81" s="835"/>
      <c r="V81" s="835"/>
      <c r="W81" s="836"/>
    </row>
    <row r="82" spans="9:23" x14ac:dyDescent="0.25">
      <c r="I82" s="843">
        <v>20</v>
      </c>
      <c r="J82" s="143" t="s">
        <v>896</v>
      </c>
      <c r="K82" s="145"/>
      <c r="L82" s="144"/>
      <c r="M82" s="144"/>
      <c r="N82" s="550"/>
      <c r="O82" s="843">
        <v>20</v>
      </c>
      <c r="P82" s="143" t="s">
        <v>896</v>
      </c>
      <c r="Q82" s="371"/>
      <c r="R82" s="371"/>
      <c r="S82" s="371"/>
      <c r="T82" s="834"/>
      <c r="U82" s="835"/>
      <c r="V82" s="835"/>
      <c r="W82" s="836"/>
    </row>
    <row r="83" spans="9:23" x14ac:dyDescent="0.25">
      <c r="I83" s="844"/>
      <c r="J83" s="147" t="s">
        <v>897</v>
      </c>
      <c r="K83" s="149"/>
      <c r="L83" s="148"/>
      <c r="M83" s="148"/>
      <c r="N83" s="551"/>
      <c r="O83" s="844"/>
      <c r="P83" s="147" t="s">
        <v>897</v>
      </c>
      <c r="Q83" s="371"/>
      <c r="R83" s="371"/>
      <c r="S83" s="371"/>
      <c r="T83" s="834"/>
      <c r="U83" s="835"/>
      <c r="V83" s="835"/>
      <c r="W83" s="836"/>
    </row>
    <row r="84" spans="9:23" x14ac:dyDescent="0.25">
      <c r="I84" s="844"/>
      <c r="J84" s="147" t="s">
        <v>902</v>
      </c>
      <c r="K84" s="148"/>
      <c r="L84" s="148"/>
      <c r="M84" s="148"/>
      <c r="N84" s="551"/>
      <c r="O84" s="844"/>
      <c r="P84" s="147" t="s">
        <v>902</v>
      </c>
      <c r="Q84" s="371"/>
      <c r="R84" s="371"/>
      <c r="S84" s="371"/>
      <c r="T84" s="834"/>
      <c r="U84" s="835"/>
      <c r="V84" s="835"/>
      <c r="W84" s="836"/>
    </row>
    <row r="85" spans="9:23" ht="15.75" thickBot="1" x14ac:dyDescent="0.3">
      <c r="I85" s="845"/>
      <c r="J85" s="155" t="s">
        <v>903</v>
      </c>
      <c r="K85" s="156"/>
      <c r="L85" s="156"/>
      <c r="M85" s="156"/>
      <c r="N85" s="552"/>
      <c r="O85" s="845"/>
      <c r="P85" s="155" t="s">
        <v>903</v>
      </c>
      <c r="Q85" s="375"/>
      <c r="R85" s="375"/>
      <c r="S85" s="375"/>
      <c r="T85" s="823"/>
      <c r="U85" s="824"/>
      <c r="V85" s="824"/>
      <c r="W85" s="825"/>
    </row>
  </sheetData>
  <mergeCells count="133">
    <mergeCell ref="I82:I85"/>
    <mergeCell ref="I46:I49"/>
    <mergeCell ref="I50:I53"/>
    <mergeCell ref="I54:I57"/>
    <mergeCell ref="I58:I61"/>
    <mergeCell ref="I62:I65"/>
    <mergeCell ref="I66:I69"/>
    <mergeCell ref="I70:I73"/>
    <mergeCell ref="I74:I77"/>
    <mergeCell ref="I78:I81"/>
    <mergeCell ref="O38:O41"/>
    <mergeCell ref="O42:O45"/>
    <mergeCell ref="O30:O33"/>
    <mergeCell ref="O34:O37"/>
    <mergeCell ref="O22:O25"/>
    <mergeCell ref="O26:O29"/>
    <mergeCell ref="O14:O17"/>
    <mergeCell ref="O18:O21"/>
    <mergeCell ref="D1:K2"/>
    <mergeCell ref="N4:N5"/>
    <mergeCell ref="O6:O9"/>
    <mergeCell ref="I4:I5"/>
    <mergeCell ref="J4:J5"/>
    <mergeCell ref="I6:I9"/>
    <mergeCell ref="I10:I13"/>
    <mergeCell ref="I14:I17"/>
    <mergeCell ref="I18:I21"/>
    <mergeCell ref="I22:I25"/>
    <mergeCell ref="I26:I29"/>
    <mergeCell ref="I30:I33"/>
    <mergeCell ref="I34:I37"/>
    <mergeCell ref="I38:I41"/>
    <mergeCell ref="I42:I45"/>
    <mergeCell ref="O62:O65"/>
    <mergeCell ref="O82:O85"/>
    <mergeCell ref="O74:O77"/>
    <mergeCell ref="O78:O81"/>
    <mergeCell ref="O66:O69"/>
    <mergeCell ref="O70:O73"/>
    <mergeCell ref="O54:O57"/>
    <mergeCell ref="O58:O61"/>
    <mergeCell ref="O46:O49"/>
    <mergeCell ref="O50:O53"/>
    <mergeCell ref="T27:W27"/>
    <mergeCell ref="T28:W28"/>
    <mergeCell ref="T29:W29"/>
    <mergeCell ref="T30:W30"/>
    <mergeCell ref="O10:O13"/>
    <mergeCell ref="M4:M5"/>
    <mergeCell ref="L4:L5"/>
    <mergeCell ref="K4:K5"/>
    <mergeCell ref="P4:P5"/>
    <mergeCell ref="O4:O5"/>
    <mergeCell ref="Q4:Q5"/>
    <mergeCell ref="R4:R5"/>
    <mergeCell ref="T31:W31"/>
    <mergeCell ref="T32:W32"/>
    <mergeCell ref="T33:W33"/>
    <mergeCell ref="T34:W34"/>
    <mergeCell ref="T35:W35"/>
    <mergeCell ref="T36:W36"/>
    <mergeCell ref="T37:W37"/>
    <mergeCell ref="T38:W38"/>
    <mergeCell ref="T39:W39"/>
    <mergeCell ref="T40:W40"/>
    <mergeCell ref="T41:W41"/>
    <mergeCell ref="T42:W42"/>
    <mergeCell ref="T43:W43"/>
    <mergeCell ref="T44:W44"/>
    <mergeCell ref="T45:W45"/>
    <mergeCell ref="T46:W46"/>
    <mergeCell ref="T47:W47"/>
    <mergeCell ref="T48:W48"/>
    <mergeCell ref="T82:W82"/>
    <mergeCell ref="T83:W83"/>
    <mergeCell ref="T84:W84"/>
    <mergeCell ref="T49:W49"/>
    <mergeCell ref="T50:W50"/>
    <mergeCell ref="T51:W51"/>
    <mergeCell ref="T52:W52"/>
    <mergeCell ref="T53:W53"/>
    <mergeCell ref="T54:W54"/>
    <mergeCell ref="T73:W73"/>
    <mergeCell ref="T74:W74"/>
    <mergeCell ref="T75:W75"/>
    <mergeCell ref="T76:W76"/>
    <mergeCell ref="T77:W77"/>
    <mergeCell ref="T78:W78"/>
    <mergeCell ref="T79:W79"/>
    <mergeCell ref="T80:W80"/>
    <mergeCell ref="T81:W81"/>
    <mergeCell ref="T64:W64"/>
    <mergeCell ref="T65:W65"/>
    <mergeCell ref="T66:W66"/>
    <mergeCell ref="T67:W67"/>
    <mergeCell ref="T68:W68"/>
    <mergeCell ref="T69:W69"/>
    <mergeCell ref="T70:W70"/>
    <mergeCell ref="T71:W71"/>
    <mergeCell ref="T72:W72"/>
    <mergeCell ref="T55:W55"/>
    <mergeCell ref="T56:W56"/>
    <mergeCell ref="T57:W57"/>
    <mergeCell ref="T58:W58"/>
    <mergeCell ref="T59:W59"/>
    <mergeCell ref="T60:W60"/>
    <mergeCell ref="T61:W61"/>
    <mergeCell ref="T62:W62"/>
    <mergeCell ref="T63:W63"/>
    <mergeCell ref="T85:W85"/>
    <mergeCell ref="S4:S5"/>
    <mergeCell ref="T4:W5"/>
    <mergeCell ref="T6:W6"/>
    <mergeCell ref="T7:W7"/>
    <mergeCell ref="T8:W8"/>
    <mergeCell ref="T9:W9"/>
    <mergeCell ref="T10:W10"/>
    <mergeCell ref="T11:W11"/>
    <mergeCell ref="T12:W12"/>
    <mergeCell ref="T13:W13"/>
    <mergeCell ref="T14:W14"/>
    <mergeCell ref="T15:W15"/>
    <mergeCell ref="T16:W16"/>
    <mergeCell ref="T17:W17"/>
    <mergeCell ref="T18:W18"/>
    <mergeCell ref="T19:W19"/>
    <mergeCell ref="T20:W20"/>
    <mergeCell ref="T21:W21"/>
    <mergeCell ref="T22:W22"/>
    <mergeCell ref="T23:W23"/>
    <mergeCell ref="T24:W24"/>
    <mergeCell ref="T25:W25"/>
    <mergeCell ref="T26:W26"/>
  </mergeCells>
  <pageMargins left="0.70866141732283472" right="0.70866141732283472" top="0.74803149606299213" bottom="0.74803149606299213" header="0.31496062992125984" footer="0.31496062992125984"/>
  <pageSetup scale="4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G22"/>
  <sheetViews>
    <sheetView topLeftCell="A3" workbookViewId="0">
      <selection activeCell="E19" sqref="E19"/>
    </sheetView>
  </sheetViews>
  <sheetFormatPr baseColWidth="10" defaultRowHeight="15" x14ac:dyDescent="0.25"/>
  <cols>
    <col min="3" max="3" width="15.5703125" bestFit="1" customWidth="1"/>
  </cols>
  <sheetData>
    <row r="12" spans="1:7" ht="28.5" customHeight="1" x14ac:dyDescent="0.45">
      <c r="C12" s="449" t="s">
        <v>1041</v>
      </c>
      <c r="D12" s="449"/>
      <c r="E12" s="449"/>
    </row>
    <row r="13" spans="1:7" ht="28.5" customHeight="1" x14ac:dyDescent="0.45">
      <c r="A13" s="850" t="s">
        <v>1042</v>
      </c>
      <c r="B13" s="850"/>
      <c r="C13" s="850"/>
      <c r="D13" s="850"/>
      <c r="E13" s="850"/>
      <c r="F13" s="850"/>
      <c r="G13" s="850"/>
    </row>
    <row r="22" spans="2:3" ht="21" x14ac:dyDescent="0.35">
      <c r="B22" s="450" t="s">
        <v>944</v>
      </c>
      <c r="C22" s="451">
        <v>41816</v>
      </c>
    </row>
  </sheetData>
  <mergeCells count="1">
    <mergeCell ref="A13:G13"/>
  </mergeCells>
  <pageMargins left="0.7" right="0.7" top="0.75" bottom="0.75" header="0.3" footer="0.3"/>
  <pageSetup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M74"/>
  <sheetViews>
    <sheetView topLeftCell="C51" workbookViewId="0">
      <selection activeCell="C74" sqref="C74"/>
    </sheetView>
  </sheetViews>
  <sheetFormatPr baseColWidth="10" defaultRowHeight="15" x14ac:dyDescent="0.25"/>
  <cols>
    <col min="2" max="2" width="4.7109375" customWidth="1"/>
    <col min="3" max="3" width="22" customWidth="1"/>
    <col min="4" max="4" width="20.85546875" customWidth="1"/>
    <col min="5" max="5" width="21.28515625" customWidth="1"/>
    <col min="6" max="6" width="22.5703125" customWidth="1"/>
    <col min="7" max="7" width="20" customWidth="1"/>
    <col min="8" max="8" width="19.7109375" customWidth="1"/>
    <col min="9" max="9" width="19.5703125" customWidth="1"/>
    <col min="10" max="10" width="19.7109375" customWidth="1"/>
    <col min="11" max="11" width="18.7109375" customWidth="1"/>
  </cols>
  <sheetData>
    <row r="3" spans="4:13" x14ac:dyDescent="0.25">
      <c r="H3" t="s">
        <v>1056</v>
      </c>
    </row>
    <row r="4" spans="4:13" ht="15.75" thickBot="1" x14ac:dyDescent="0.3"/>
    <row r="5" spans="4:13" x14ac:dyDescent="0.25">
      <c r="D5" s="734" t="s">
        <v>1057</v>
      </c>
      <c r="E5" s="734" t="s">
        <v>1045</v>
      </c>
      <c r="F5" s="734" t="s">
        <v>1046</v>
      </c>
      <c r="G5" s="734" t="s">
        <v>1047</v>
      </c>
      <c r="H5" s="734" t="s">
        <v>1048</v>
      </c>
      <c r="I5" s="734" t="s">
        <v>1049</v>
      </c>
      <c r="J5" s="734" t="s">
        <v>247</v>
      </c>
      <c r="K5" s="734" t="s">
        <v>1051</v>
      </c>
      <c r="L5" s="734" t="s">
        <v>1052</v>
      </c>
      <c r="M5" s="734" t="s">
        <v>1055</v>
      </c>
    </row>
    <row r="6" spans="4:13" x14ac:dyDescent="0.25">
      <c r="D6" s="735"/>
      <c r="E6" s="735"/>
      <c r="F6" s="735"/>
      <c r="G6" s="735"/>
      <c r="H6" s="735"/>
      <c r="I6" s="735"/>
      <c r="J6" s="735"/>
      <c r="K6" s="735"/>
      <c r="L6" s="735"/>
      <c r="M6" s="735"/>
    </row>
    <row r="7" spans="4:13" ht="15.75" thickBot="1" x14ac:dyDescent="0.3">
      <c r="D7" s="736"/>
      <c r="E7" s="736"/>
      <c r="F7" s="736"/>
      <c r="G7" s="736"/>
      <c r="H7" s="736"/>
      <c r="I7" s="736"/>
      <c r="J7" s="736"/>
      <c r="K7" s="736"/>
      <c r="L7" s="736"/>
      <c r="M7" s="736"/>
    </row>
    <row r="8" spans="4:13" x14ac:dyDescent="0.25">
      <c r="D8" s="25">
        <v>1</v>
      </c>
      <c r="E8" s="68" t="s">
        <v>1050</v>
      </c>
      <c r="F8" s="327" t="s">
        <v>1050</v>
      </c>
      <c r="G8" s="18">
        <v>39413</v>
      </c>
      <c r="H8" s="329">
        <v>10524</v>
      </c>
      <c r="I8" s="18">
        <v>40255</v>
      </c>
      <c r="J8" s="454" t="s">
        <v>1053</v>
      </c>
      <c r="K8" s="452" t="s">
        <v>1054</v>
      </c>
      <c r="L8" s="452">
        <v>18524</v>
      </c>
      <c r="M8" s="453">
        <v>40704</v>
      </c>
    </row>
    <row r="9" spans="4:13" x14ac:dyDescent="0.25">
      <c r="D9" s="26">
        <v>2</v>
      </c>
      <c r="E9" s="69" t="s">
        <v>1050</v>
      </c>
      <c r="F9" s="327" t="s">
        <v>1050</v>
      </c>
      <c r="G9" s="5">
        <v>39413</v>
      </c>
      <c r="H9" s="327">
        <v>10524</v>
      </c>
      <c r="I9" s="5">
        <v>40255</v>
      </c>
      <c r="J9" s="455" t="s">
        <v>1053</v>
      </c>
      <c r="K9" s="452" t="s">
        <v>1054</v>
      </c>
      <c r="L9" s="452">
        <v>18524</v>
      </c>
      <c r="M9" s="453">
        <v>40704</v>
      </c>
    </row>
    <row r="10" spans="4:13" x14ac:dyDescent="0.25">
      <c r="D10" s="26">
        <v>3</v>
      </c>
      <c r="E10" s="69" t="s">
        <v>1050</v>
      </c>
      <c r="F10" s="327" t="s">
        <v>1050</v>
      </c>
      <c r="G10" s="5">
        <v>39413</v>
      </c>
      <c r="H10" s="327">
        <v>10524</v>
      </c>
      <c r="I10" s="5">
        <v>40256</v>
      </c>
      <c r="J10" s="455" t="s">
        <v>1053</v>
      </c>
      <c r="K10" s="452" t="s">
        <v>1054</v>
      </c>
      <c r="L10" s="452">
        <v>18524</v>
      </c>
      <c r="M10" s="453">
        <v>40704</v>
      </c>
    </row>
    <row r="11" spans="4:13" x14ac:dyDescent="0.25">
      <c r="D11" s="26">
        <v>4</v>
      </c>
      <c r="E11" s="69" t="s">
        <v>1050</v>
      </c>
      <c r="F11" s="327" t="s">
        <v>1050</v>
      </c>
      <c r="G11" s="5">
        <v>39413</v>
      </c>
      <c r="H11" s="327">
        <v>10524</v>
      </c>
      <c r="I11" s="5">
        <v>40257</v>
      </c>
      <c r="J11" s="455" t="s">
        <v>1053</v>
      </c>
      <c r="K11" s="452" t="s">
        <v>1054</v>
      </c>
      <c r="L11" s="452">
        <v>18524</v>
      </c>
      <c r="M11" s="453">
        <v>40704</v>
      </c>
    </row>
    <row r="12" spans="4:13" x14ac:dyDescent="0.25">
      <c r="D12" s="26">
        <v>5</v>
      </c>
      <c r="E12" s="69" t="s">
        <v>1050</v>
      </c>
      <c r="F12" s="327" t="s">
        <v>1050</v>
      </c>
      <c r="G12" s="5">
        <v>39413</v>
      </c>
      <c r="H12" s="327">
        <v>10524</v>
      </c>
      <c r="I12" s="5">
        <v>40258</v>
      </c>
      <c r="J12" s="455" t="s">
        <v>1053</v>
      </c>
      <c r="K12" s="452" t="s">
        <v>1054</v>
      </c>
      <c r="L12" s="452">
        <v>18524</v>
      </c>
      <c r="M12" s="453">
        <v>40704</v>
      </c>
    </row>
    <row r="13" spans="4:13" x14ac:dyDescent="0.25">
      <c r="D13" s="26">
        <v>6</v>
      </c>
      <c r="E13" s="69" t="s">
        <v>1050</v>
      </c>
      <c r="F13" s="327" t="s">
        <v>1050</v>
      </c>
      <c r="G13" s="5">
        <v>39413</v>
      </c>
      <c r="H13" s="327">
        <v>10524</v>
      </c>
      <c r="I13" s="5">
        <v>40259</v>
      </c>
      <c r="J13" s="455" t="s">
        <v>1053</v>
      </c>
      <c r="K13" s="452" t="s">
        <v>1054</v>
      </c>
      <c r="L13" s="452">
        <v>18524</v>
      </c>
      <c r="M13" s="453">
        <v>40704</v>
      </c>
    </row>
    <row r="14" spans="4:13" x14ac:dyDescent="0.25">
      <c r="D14" s="26">
        <v>7</v>
      </c>
      <c r="E14" s="69" t="s">
        <v>1050</v>
      </c>
      <c r="F14" s="327" t="s">
        <v>1050</v>
      </c>
      <c r="G14" s="5">
        <v>39413</v>
      </c>
      <c r="H14" s="327">
        <v>10524</v>
      </c>
      <c r="I14" s="5">
        <v>40260</v>
      </c>
      <c r="J14" s="455" t="s">
        <v>1053</v>
      </c>
      <c r="K14" s="452" t="s">
        <v>1054</v>
      </c>
      <c r="L14" s="452">
        <v>18524</v>
      </c>
      <c r="M14" s="453">
        <v>40704</v>
      </c>
    </row>
    <row r="15" spans="4:13" x14ac:dyDescent="0.25">
      <c r="D15" s="26">
        <v>8</v>
      </c>
      <c r="E15" s="69" t="s">
        <v>1050</v>
      </c>
      <c r="F15" s="327" t="s">
        <v>1050</v>
      </c>
      <c r="G15" s="5">
        <v>39413</v>
      </c>
      <c r="H15" s="327">
        <v>10524</v>
      </c>
      <c r="I15" s="5">
        <v>40261</v>
      </c>
      <c r="J15" s="455" t="s">
        <v>1053</v>
      </c>
      <c r="K15" s="452" t="s">
        <v>1054</v>
      </c>
      <c r="L15" s="452">
        <v>18524</v>
      </c>
      <c r="M15" s="453">
        <v>40704</v>
      </c>
    </row>
    <row r="16" spans="4:13" x14ac:dyDescent="0.25">
      <c r="D16" s="26"/>
      <c r="E16" s="69"/>
      <c r="F16" s="327"/>
      <c r="G16" s="5"/>
      <c r="H16" s="5"/>
      <c r="I16" s="330"/>
      <c r="J16" s="455"/>
      <c r="K16" s="452"/>
      <c r="L16" s="452"/>
      <c r="M16" s="453"/>
    </row>
    <row r="17" spans="3:13" x14ac:dyDescent="0.25">
      <c r="D17" s="26"/>
      <c r="E17" s="69"/>
      <c r="F17" s="327"/>
      <c r="G17" s="5"/>
      <c r="H17" s="5"/>
      <c r="I17" s="330"/>
      <c r="J17" s="455"/>
      <c r="K17" s="452"/>
      <c r="L17" s="452"/>
      <c r="M17" s="453"/>
    </row>
    <row r="18" spans="3:13" x14ac:dyDescent="0.25">
      <c r="D18" s="26"/>
      <c r="E18" s="69"/>
      <c r="F18" s="327"/>
      <c r="G18" s="5"/>
      <c r="H18" s="5"/>
      <c r="I18" s="330"/>
      <c r="J18" s="455"/>
      <c r="K18" s="452"/>
      <c r="L18" s="452"/>
      <c r="M18" s="452"/>
    </row>
    <row r="19" spans="3:13" ht="15.75" thickBot="1" x14ac:dyDescent="0.3">
      <c r="D19" s="26"/>
      <c r="E19" s="331"/>
      <c r="F19" s="327"/>
      <c r="G19" s="5"/>
      <c r="H19" s="5"/>
      <c r="I19" s="330"/>
      <c r="J19" s="456"/>
      <c r="K19" s="452"/>
      <c r="L19" s="452"/>
      <c r="M19" s="452"/>
    </row>
    <row r="22" spans="3:13" ht="15.75" thickBot="1" x14ac:dyDescent="0.3"/>
    <row r="23" spans="3:13" x14ac:dyDescent="0.25">
      <c r="C23" s="734" t="s">
        <v>1080</v>
      </c>
      <c r="D23" s="851" t="s">
        <v>1077</v>
      </c>
      <c r="E23" s="852"/>
      <c r="F23" s="852"/>
      <c r="G23" s="852"/>
      <c r="H23" s="852"/>
      <c r="I23" s="852"/>
      <c r="J23" s="852"/>
      <c r="K23" s="852"/>
    </row>
    <row r="24" spans="3:13" x14ac:dyDescent="0.25">
      <c r="C24" s="735"/>
      <c r="D24" s="851"/>
      <c r="E24" s="852"/>
      <c r="F24" s="852"/>
      <c r="G24" s="852"/>
      <c r="H24" s="852"/>
      <c r="I24" s="852"/>
      <c r="J24" s="852"/>
      <c r="K24" s="852"/>
    </row>
    <row r="25" spans="3:13" ht="15.75" thickBot="1" x14ac:dyDescent="0.3">
      <c r="C25" s="736"/>
      <c r="D25" s="853"/>
      <c r="E25" s="854"/>
      <c r="F25" s="854"/>
      <c r="G25" s="854"/>
      <c r="H25" s="854"/>
      <c r="I25" s="854"/>
      <c r="J25" s="854"/>
      <c r="K25" s="854"/>
    </row>
    <row r="26" spans="3:13" x14ac:dyDescent="0.25">
      <c r="C26" s="734" t="s">
        <v>1067</v>
      </c>
      <c r="D26" s="734" t="s">
        <v>1064</v>
      </c>
      <c r="E26" s="734" t="s">
        <v>1058</v>
      </c>
      <c r="F26" s="734" t="s">
        <v>1059</v>
      </c>
      <c r="G26" s="734" t="s">
        <v>1060</v>
      </c>
      <c r="H26" s="734" t="s">
        <v>1061</v>
      </c>
      <c r="I26" s="734" t="s">
        <v>1062</v>
      </c>
      <c r="J26" s="734" t="s">
        <v>1063</v>
      </c>
      <c r="K26" s="734" t="s">
        <v>1065</v>
      </c>
    </row>
    <row r="27" spans="3:13" x14ac:dyDescent="0.25">
      <c r="C27" s="735"/>
      <c r="D27" s="735"/>
      <c r="E27" s="735"/>
      <c r="F27" s="735"/>
      <c r="G27" s="735"/>
      <c r="H27" s="735"/>
      <c r="I27" s="735"/>
      <c r="J27" s="735"/>
      <c r="K27" s="735"/>
    </row>
    <row r="28" spans="3:13" ht="15.75" thickBot="1" x14ac:dyDescent="0.3">
      <c r="C28" s="736"/>
      <c r="D28" s="736"/>
      <c r="E28" s="736"/>
      <c r="F28" s="736"/>
      <c r="G28" s="736"/>
      <c r="H28" s="736"/>
      <c r="I28" s="736"/>
      <c r="J28" s="736"/>
      <c r="K28" s="736"/>
    </row>
    <row r="29" spans="3:13" x14ac:dyDescent="0.25">
      <c r="C29" s="750" t="s">
        <v>1068</v>
      </c>
      <c r="D29" s="454"/>
      <c r="E29" s="454"/>
      <c r="F29" s="454"/>
      <c r="G29" s="454"/>
      <c r="H29" s="454"/>
      <c r="I29" s="454"/>
      <c r="J29" s="454"/>
      <c r="K29" s="454"/>
      <c r="L29" s="452"/>
      <c r="M29" s="453"/>
    </row>
    <row r="30" spans="3:13" x14ac:dyDescent="0.25">
      <c r="C30" s="751"/>
      <c r="D30" s="457" t="s">
        <v>1050</v>
      </c>
      <c r="E30" s="457" t="s">
        <v>1050</v>
      </c>
      <c r="F30" s="457" t="s">
        <v>1050</v>
      </c>
      <c r="G30" s="457" t="s">
        <v>1050</v>
      </c>
      <c r="H30" s="457" t="s">
        <v>1050</v>
      </c>
      <c r="I30" s="457" t="s">
        <v>1050</v>
      </c>
      <c r="J30" s="457" t="s">
        <v>1050</v>
      </c>
      <c r="K30" s="457" t="s">
        <v>1050</v>
      </c>
      <c r="L30" s="452"/>
      <c r="M30" s="453"/>
    </row>
    <row r="31" spans="3:13" ht="15.75" thickBot="1" x14ac:dyDescent="0.3">
      <c r="C31" s="752"/>
      <c r="D31" s="458"/>
      <c r="E31" s="458"/>
      <c r="F31" s="458"/>
      <c r="G31" s="458"/>
      <c r="H31" s="458"/>
      <c r="I31" s="458"/>
      <c r="J31" s="458"/>
      <c r="K31" s="458"/>
      <c r="L31" s="452"/>
      <c r="M31" s="453"/>
    </row>
    <row r="32" spans="3:13" x14ac:dyDescent="0.25">
      <c r="C32" s="750" t="s">
        <v>1066</v>
      </c>
      <c r="D32" s="342"/>
      <c r="E32" s="342"/>
      <c r="F32" s="342"/>
      <c r="G32" s="342"/>
      <c r="H32" s="342"/>
      <c r="I32" s="342"/>
      <c r="J32" s="342"/>
      <c r="K32" s="342"/>
      <c r="L32" s="452"/>
      <c r="M32" s="453"/>
    </row>
    <row r="33" spans="3:13" x14ac:dyDescent="0.25">
      <c r="C33" s="751"/>
      <c r="D33" s="5">
        <v>39413</v>
      </c>
      <c r="E33" s="5">
        <v>39413</v>
      </c>
      <c r="F33" s="5">
        <v>39413</v>
      </c>
      <c r="G33" s="5">
        <v>39413</v>
      </c>
      <c r="H33" s="5">
        <v>39413</v>
      </c>
      <c r="I33" s="5">
        <v>39413</v>
      </c>
      <c r="J33" s="5">
        <v>39413</v>
      </c>
      <c r="K33" s="5">
        <v>39413</v>
      </c>
      <c r="L33" s="452"/>
      <c r="M33" s="453"/>
    </row>
    <row r="34" spans="3:13" ht="15.75" thickBot="1" x14ac:dyDescent="0.3">
      <c r="C34" s="752"/>
      <c r="D34" s="458"/>
      <c r="E34" s="458"/>
      <c r="F34" s="458"/>
      <c r="G34" s="458"/>
      <c r="H34" s="458"/>
      <c r="I34" s="458"/>
      <c r="J34" s="458"/>
      <c r="K34" s="458"/>
      <c r="L34" s="452"/>
      <c r="M34" s="453"/>
    </row>
    <row r="35" spans="3:13" x14ac:dyDescent="0.25">
      <c r="C35" s="750" t="s">
        <v>1048</v>
      </c>
      <c r="D35" s="342"/>
      <c r="E35" s="342"/>
      <c r="F35" s="342"/>
      <c r="G35" s="342"/>
      <c r="H35" s="342"/>
      <c r="I35" s="342"/>
      <c r="J35" s="342"/>
      <c r="K35" s="342"/>
      <c r="L35" s="452"/>
      <c r="M35" s="453"/>
    </row>
    <row r="36" spans="3:13" x14ac:dyDescent="0.25">
      <c r="C36" s="751"/>
      <c r="D36" s="327">
        <v>10524</v>
      </c>
      <c r="E36" s="327">
        <v>10524</v>
      </c>
      <c r="F36" s="327">
        <v>10524</v>
      </c>
      <c r="G36" s="327">
        <v>10524</v>
      </c>
      <c r="H36" s="327">
        <v>10524</v>
      </c>
      <c r="I36" s="327">
        <v>10524</v>
      </c>
      <c r="J36" s="327">
        <v>10524</v>
      </c>
      <c r="K36" s="327">
        <v>10524</v>
      </c>
      <c r="L36" s="452"/>
      <c r="M36" s="453"/>
    </row>
    <row r="37" spans="3:13" ht="15.75" thickBot="1" x14ac:dyDescent="0.3">
      <c r="C37" s="752"/>
      <c r="D37" s="458"/>
      <c r="E37" s="458"/>
      <c r="F37" s="458"/>
      <c r="G37" s="458"/>
      <c r="H37" s="458"/>
      <c r="I37" s="458"/>
      <c r="J37" s="458"/>
      <c r="K37" s="458"/>
      <c r="L37" s="452"/>
      <c r="M37" s="453"/>
    </row>
    <row r="38" spans="3:13" x14ac:dyDescent="0.25">
      <c r="C38" s="750" t="s">
        <v>1049</v>
      </c>
      <c r="D38" s="342"/>
      <c r="E38" s="342"/>
      <c r="F38" s="342"/>
      <c r="G38" s="342"/>
      <c r="H38" s="342"/>
      <c r="I38" s="342"/>
      <c r="J38" s="342"/>
      <c r="K38" s="342"/>
      <c r="L38" s="452"/>
      <c r="M38" s="453"/>
    </row>
    <row r="39" spans="3:13" x14ac:dyDescent="0.25">
      <c r="C39" s="751"/>
      <c r="D39" s="5">
        <v>40255</v>
      </c>
      <c r="E39" s="5">
        <v>40255</v>
      </c>
      <c r="F39" s="5">
        <v>40255</v>
      </c>
      <c r="G39" s="5">
        <v>40255</v>
      </c>
      <c r="H39" s="5">
        <v>40255</v>
      </c>
      <c r="I39" s="5">
        <v>40255</v>
      </c>
      <c r="J39" s="5">
        <v>40255</v>
      </c>
      <c r="K39" s="5">
        <v>40255</v>
      </c>
      <c r="L39" s="452"/>
      <c r="M39" s="452"/>
    </row>
    <row r="40" spans="3:13" ht="15.75" thickBot="1" x14ac:dyDescent="0.3">
      <c r="C40" s="752"/>
      <c r="D40" s="458"/>
      <c r="E40" s="458"/>
      <c r="F40" s="458"/>
      <c r="G40" s="458"/>
      <c r="H40" s="458"/>
      <c r="I40" s="458"/>
      <c r="J40" s="458"/>
      <c r="K40" s="458"/>
      <c r="L40" s="452"/>
      <c r="M40" s="452"/>
    </row>
    <row r="41" spans="3:13" x14ac:dyDescent="0.25">
      <c r="C41" s="750" t="s">
        <v>1070</v>
      </c>
      <c r="D41" s="342"/>
      <c r="E41" s="342"/>
      <c r="F41" s="342"/>
      <c r="G41" s="342"/>
      <c r="H41" s="342"/>
      <c r="I41" s="342"/>
      <c r="J41" s="342"/>
      <c r="K41" s="342"/>
    </row>
    <row r="42" spans="3:13" x14ac:dyDescent="0.25">
      <c r="C42" s="751"/>
      <c r="D42" s="457" t="s">
        <v>1053</v>
      </c>
      <c r="E42" s="457" t="s">
        <v>1053</v>
      </c>
      <c r="F42" s="457" t="s">
        <v>1053</v>
      </c>
      <c r="G42" s="457" t="s">
        <v>1053</v>
      </c>
      <c r="H42" s="457" t="s">
        <v>1053</v>
      </c>
      <c r="I42" s="457" t="s">
        <v>1053</v>
      </c>
      <c r="J42" s="457" t="s">
        <v>1053</v>
      </c>
      <c r="K42" s="457" t="s">
        <v>1053</v>
      </c>
    </row>
    <row r="43" spans="3:13" ht="15.75" thickBot="1" x14ac:dyDescent="0.3">
      <c r="C43" s="752"/>
      <c r="D43" s="458"/>
      <c r="E43" s="458"/>
      <c r="F43" s="458"/>
      <c r="G43" s="458"/>
      <c r="H43" s="458"/>
      <c r="I43" s="458"/>
      <c r="J43" s="458"/>
      <c r="K43" s="458"/>
    </row>
    <row r="44" spans="3:13" x14ac:dyDescent="0.25">
      <c r="C44" s="750" t="s">
        <v>1051</v>
      </c>
      <c r="D44" s="342"/>
      <c r="E44" s="342"/>
      <c r="F44" s="342"/>
      <c r="G44" s="342"/>
      <c r="H44" s="342"/>
      <c r="I44" s="342"/>
      <c r="J44" s="342"/>
      <c r="K44" s="342"/>
    </row>
    <row r="45" spans="3:13" x14ac:dyDescent="0.25">
      <c r="C45" s="751"/>
      <c r="D45" s="457" t="s">
        <v>1054</v>
      </c>
      <c r="E45" s="457" t="s">
        <v>1054</v>
      </c>
      <c r="F45" s="457" t="s">
        <v>1054</v>
      </c>
      <c r="G45" s="457" t="s">
        <v>1054</v>
      </c>
      <c r="H45" s="457" t="s">
        <v>1054</v>
      </c>
      <c r="I45" s="457" t="s">
        <v>1054</v>
      </c>
      <c r="J45" s="457" t="s">
        <v>1054</v>
      </c>
      <c r="K45" s="457" t="s">
        <v>1054</v>
      </c>
    </row>
    <row r="46" spans="3:13" ht="15.75" thickBot="1" x14ac:dyDescent="0.3">
      <c r="C46" s="752"/>
      <c r="D46" s="458"/>
      <c r="E46" s="458"/>
      <c r="F46" s="458"/>
      <c r="G46" s="458"/>
      <c r="H46" s="458"/>
      <c r="I46" s="458"/>
      <c r="J46" s="458"/>
      <c r="K46" s="458"/>
    </row>
    <row r="47" spans="3:13" x14ac:dyDescent="0.25">
      <c r="C47" s="750" t="s">
        <v>1052</v>
      </c>
      <c r="D47" s="342"/>
      <c r="E47" s="342"/>
      <c r="F47" s="342"/>
      <c r="G47" s="342"/>
      <c r="H47" s="342"/>
      <c r="I47" s="342"/>
      <c r="J47" s="342"/>
      <c r="K47" s="342"/>
    </row>
    <row r="48" spans="3:13" x14ac:dyDescent="0.25">
      <c r="C48" s="751"/>
      <c r="D48" s="457">
        <v>18524</v>
      </c>
      <c r="E48" s="457">
        <v>18524</v>
      </c>
      <c r="F48" s="457">
        <v>18524</v>
      </c>
      <c r="G48" s="457">
        <v>18524</v>
      </c>
      <c r="H48" s="457">
        <v>18524</v>
      </c>
      <c r="I48" s="457">
        <v>18524</v>
      </c>
      <c r="J48" s="457">
        <v>18524</v>
      </c>
      <c r="K48" s="457">
        <v>18524</v>
      </c>
    </row>
    <row r="49" spans="3:11" ht="15.75" thickBot="1" x14ac:dyDescent="0.3">
      <c r="C49" s="752"/>
      <c r="D49" s="458"/>
      <c r="E49" s="458"/>
      <c r="F49" s="458"/>
      <c r="G49" s="458"/>
      <c r="H49" s="458"/>
      <c r="I49" s="458"/>
      <c r="J49" s="458"/>
      <c r="K49" s="458"/>
    </row>
    <row r="50" spans="3:11" x14ac:dyDescent="0.25">
      <c r="C50" s="750" t="s">
        <v>1075</v>
      </c>
      <c r="D50" s="342"/>
      <c r="E50" s="342"/>
      <c r="F50" s="342"/>
      <c r="G50" s="342"/>
      <c r="H50" s="342"/>
      <c r="I50" s="342"/>
      <c r="J50" s="342"/>
      <c r="K50" s="342"/>
    </row>
    <row r="51" spans="3:11" x14ac:dyDescent="0.25">
      <c r="C51" s="751"/>
      <c r="D51" s="459">
        <v>40704</v>
      </c>
      <c r="E51" s="459">
        <v>40704</v>
      </c>
      <c r="F51" s="459">
        <v>40704</v>
      </c>
      <c r="G51" s="459">
        <v>40704</v>
      </c>
      <c r="H51" s="459">
        <v>40704</v>
      </c>
      <c r="I51" s="459">
        <v>40704</v>
      </c>
      <c r="J51" s="459">
        <v>40704</v>
      </c>
      <c r="K51" s="459">
        <v>40704</v>
      </c>
    </row>
    <row r="52" spans="3:11" ht="15.75" thickBot="1" x14ac:dyDescent="0.3">
      <c r="C52" s="752"/>
      <c r="D52" s="458"/>
      <c r="E52" s="458"/>
      <c r="F52" s="458"/>
      <c r="G52" s="458"/>
      <c r="H52" s="458"/>
      <c r="I52" s="458"/>
      <c r="J52" s="458"/>
      <c r="K52" s="458"/>
    </row>
    <row r="53" spans="3:11" x14ac:dyDescent="0.25">
      <c r="C53" s="750" t="s">
        <v>1069</v>
      </c>
      <c r="D53" s="342"/>
      <c r="E53" s="342"/>
      <c r="F53" s="342"/>
      <c r="G53" s="342"/>
      <c r="H53" s="342"/>
      <c r="I53" s="342"/>
      <c r="J53" s="342"/>
      <c r="K53" s="342"/>
    </row>
    <row r="54" spans="3:11" x14ac:dyDescent="0.25">
      <c r="C54" s="751"/>
      <c r="D54" s="457" t="s">
        <v>1071</v>
      </c>
      <c r="E54" s="457" t="s">
        <v>1071</v>
      </c>
      <c r="F54" s="457" t="s">
        <v>1071</v>
      </c>
      <c r="G54" s="457" t="s">
        <v>1071</v>
      </c>
      <c r="H54" s="457" t="s">
        <v>1071</v>
      </c>
      <c r="I54" s="457" t="s">
        <v>1071</v>
      </c>
      <c r="J54" s="457" t="s">
        <v>1071</v>
      </c>
      <c r="K54" s="457" t="s">
        <v>1071</v>
      </c>
    </row>
    <row r="55" spans="3:11" ht="15.75" thickBot="1" x14ac:dyDescent="0.3">
      <c r="C55" s="752"/>
      <c r="D55" s="458"/>
      <c r="E55" s="458"/>
      <c r="F55" s="458"/>
      <c r="G55" s="458"/>
      <c r="H55" s="458"/>
      <c r="I55" s="458"/>
      <c r="J55" s="458"/>
      <c r="K55" s="458"/>
    </row>
    <row r="56" spans="3:11" x14ac:dyDescent="0.25">
      <c r="C56" s="750" t="s">
        <v>1072</v>
      </c>
      <c r="D56" s="342"/>
      <c r="E56" s="342"/>
      <c r="F56" s="342"/>
      <c r="G56" s="342"/>
      <c r="H56" s="342"/>
      <c r="I56" s="342"/>
      <c r="J56" s="342"/>
      <c r="K56" s="342"/>
    </row>
    <row r="57" spans="3:11" x14ac:dyDescent="0.25">
      <c r="C57" s="751"/>
      <c r="D57" s="5">
        <v>41072</v>
      </c>
      <c r="E57" s="5">
        <v>41072</v>
      </c>
      <c r="F57" s="5">
        <v>41072</v>
      </c>
      <c r="G57" s="5">
        <v>41072</v>
      </c>
      <c r="H57" s="5">
        <v>41072</v>
      </c>
      <c r="I57" s="5">
        <v>41072</v>
      </c>
      <c r="J57" s="5">
        <v>41072</v>
      </c>
      <c r="K57" s="5">
        <v>41072</v>
      </c>
    </row>
    <row r="58" spans="3:11" ht="15.75" thickBot="1" x14ac:dyDescent="0.3">
      <c r="C58" s="752"/>
      <c r="D58" s="458"/>
      <c r="E58" s="458"/>
      <c r="F58" s="458"/>
      <c r="G58" s="458"/>
      <c r="H58" s="458"/>
      <c r="I58" s="458"/>
      <c r="J58" s="458"/>
      <c r="K58" s="458"/>
    </row>
    <row r="59" spans="3:11" x14ac:dyDescent="0.25">
      <c r="C59" s="750" t="s">
        <v>1073</v>
      </c>
      <c r="D59" s="342"/>
      <c r="E59" s="342"/>
      <c r="F59" s="342"/>
      <c r="G59" s="342"/>
      <c r="H59" s="342"/>
      <c r="I59" s="342"/>
      <c r="J59" s="342"/>
      <c r="K59" s="342"/>
    </row>
    <row r="60" spans="3:11" x14ac:dyDescent="0.25">
      <c r="C60" s="751"/>
      <c r="D60" s="457">
        <v>24500</v>
      </c>
      <c r="E60" s="457">
        <v>24500</v>
      </c>
      <c r="F60" s="457">
        <v>24500</v>
      </c>
      <c r="G60" s="457">
        <v>24500</v>
      </c>
      <c r="H60" s="457">
        <v>24500</v>
      </c>
      <c r="I60" s="457">
        <v>24500</v>
      </c>
      <c r="J60" s="457">
        <v>24500</v>
      </c>
      <c r="K60" s="457">
        <v>24500</v>
      </c>
    </row>
    <row r="61" spans="3:11" ht="15.75" thickBot="1" x14ac:dyDescent="0.3">
      <c r="C61" s="752"/>
      <c r="D61" s="458"/>
      <c r="E61" s="458"/>
      <c r="F61" s="458"/>
      <c r="G61" s="458"/>
      <c r="H61" s="458"/>
      <c r="I61" s="458"/>
      <c r="J61" s="458"/>
      <c r="K61" s="458"/>
    </row>
    <row r="62" spans="3:11" x14ac:dyDescent="0.25">
      <c r="C62" s="750" t="s">
        <v>1074</v>
      </c>
      <c r="D62" s="342"/>
      <c r="E62" s="342"/>
      <c r="F62" s="342"/>
      <c r="G62" s="342"/>
      <c r="H62" s="342"/>
      <c r="I62" s="342"/>
      <c r="J62" s="342"/>
      <c r="K62" s="342"/>
    </row>
    <row r="63" spans="3:11" x14ac:dyDescent="0.25">
      <c r="C63" s="751"/>
      <c r="D63" s="457">
        <v>24500</v>
      </c>
      <c r="E63" s="457">
        <v>24500</v>
      </c>
      <c r="F63" s="457">
        <v>24500</v>
      </c>
      <c r="G63" s="457">
        <v>24500</v>
      </c>
      <c r="H63" s="457">
        <v>24500</v>
      </c>
      <c r="I63" s="457">
        <v>24500</v>
      </c>
      <c r="J63" s="457">
        <v>24500</v>
      </c>
      <c r="K63" s="457">
        <v>24500</v>
      </c>
    </row>
    <row r="64" spans="3:11" ht="15.75" thickBot="1" x14ac:dyDescent="0.3">
      <c r="C64" s="752"/>
      <c r="D64" s="458"/>
      <c r="E64" s="458"/>
      <c r="F64" s="458"/>
      <c r="G64" s="458"/>
      <c r="H64" s="458"/>
      <c r="I64" s="458"/>
      <c r="J64" s="458"/>
      <c r="K64" s="458"/>
    </row>
    <row r="65" spans="3:11" x14ac:dyDescent="0.25">
      <c r="C65" s="750" t="s">
        <v>1076</v>
      </c>
      <c r="D65" s="342"/>
      <c r="E65" s="342"/>
      <c r="F65" s="342"/>
      <c r="G65" s="342"/>
      <c r="H65" s="342"/>
      <c r="I65" s="342"/>
      <c r="J65" s="342"/>
      <c r="K65" s="342"/>
    </row>
    <row r="66" spans="3:11" x14ac:dyDescent="0.25">
      <c r="C66" s="751"/>
      <c r="D66" s="459">
        <v>41072</v>
      </c>
      <c r="E66" s="459">
        <v>41072</v>
      </c>
      <c r="F66" s="459">
        <v>41072</v>
      </c>
      <c r="G66" s="459">
        <v>41072</v>
      </c>
      <c r="H66" s="459">
        <v>41072</v>
      </c>
      <c r="I66" s="459">
        <v>41072</v>
      </c>
      <c r="J66" s="459">
        <v>41072</v>
      </c>
      <c r="K66" s="459">
        <v>41072</v>
      </c>
    </row>
    <row r="67" spans="3:11" ht="15.75" thickBot="1" x14ac:dyDescent="0.3">
      <c r="C67" s="752"/>
      <c r="D67" s="458"/>
      <c r="E67" s="458"/>
      <c r="F67" s="458"/>
      <c r="G67" s="458"/>
      <c r="H67" s="458"/>
      <c r="I67" s="458"/>
      <c r="J67" s="458"/>
      <c r="K67" s="458"/>
    </row>
    <row r="68" spans="3:11" x14ac:dyDescent="0.25">
      <c r="C68" s="750" t="s">
        <v>1078</v>
      </c>
      <c r="D68" s="342"/>
      <c r="E68" s="342"/>
      <c r="F68" s="342"/>
      <c r="G68" s="342"/>
      <c r="H68" s="342"/>
      <c r="I68" s="342"/>
      <c r="J68" s="342"/>
      <c r="K68" s="342"/>
    </row>
    <row r="69" spans="3:11" x14ac:dyDescent="0.25">
      <c r="C69" s="751"/>
      <c r="D69" s="457">
        <v>31802</v>
      </c>
      <c r="E69" s="457">
        <v>31802</v>
      </c>
      <c r="F69" s="457">
        <v>31802</v>
      </c>
      <c r="G69" s="457">
        <v>31802</v>
      </c>
      <c r="H69" s="457">
        <v>31802</v>
      </c>
      <c r="I69" s="457">
        <v>31802</v>
      </c>
      <c r="J69" s="457">
        <v>31802</v>
      </c>
      <c r="K69" s="457">
        <v>31802</v>
      </c>
    </row>
    <row r="70" spans="3:11" ht="15.75" thickBot="1" x14ac:dyDescent="0.3">
      <c r="C70" s="752"/>
      <c r="D70" s="458"/>
      <c r="E70" s="458"/>
      <c r="F70" s="458"/>
      <c r="G70" s="458"/>
      <c r="H70" s="458"/>
      <c r="I70" s="458"/>
      <c r="J70" s="458"/>
      <c r="K70" s="458"/>
    </row>
    <row r="71" spans="3:11" x14ac:dyDescent="0.25">
      <c r="C71" s="750" t="s">
        <v>1079</v>
      </c>
      <c r="D71" s="342"/>
      <c r="E71" s="342"/>
      <c r="F71" s="342"/>
      <c r="G71" s="342"/>
      <c r="H71" s="342"/>
      <c r="I71" s="342"/>
      <c r="J71" s="342"/>
      <c r="K71" s="342"/>
    </row>
    <row r="72" spans="3:11" x14ac:dyDescent="0.25">
      <c r="C72" s="751"/>
      <c r="D72" s="459">
        <v>41668</v>
      </c>
      <c r="E72" s="459">
        <v>41668</v>
      </c>
      <c r="F72" s="459">
        <v>41668</v>
      </c>
      <c r="G72" s="459">
        <v>41668</v>
      </c>
      <c r="H72" s="459">
        <v>41668</v>
      </c>
      <c r="I72" s="459">
        <v>41668</v>
      </c>
      <c r="J72" s="459">
        <v>41668</v>
      </c>
      <c r="K72" s="459">
        <v>41668</v>
      </c>
    </row>
    <row r="73" spans="3:11" ht="15.75" thickBot="1" x14ac:dyDescent="0.3">
      <c r="C73" s="752"/>
      <c r="D73" s="458"/>
      <c r="E73" s="458"/>
      <c r="F73" s="458"/>
      <c r="G73" s="458"/>
      <c r="H73" s="458"/>
      <c r="I73" s="458"/>
      <c r="J73" s="458"/>
      <c r="K73" s="458"/>
    </row>
    <row r="74" spans="3:11" x14ac:dyDescent="0.25">
      <c r="D74" s="332"/>
      <c r="E74" s="332"/>
      <c r="F74" s="332"/>
      <c r="G74" s="332"/>
      <c r="H74" s="332"/>
      <c r="I74" s="332"/>
      <c r="J74" s="332"/>
      <c r="K74" s="332"/>
    </row>
  </sheetData>
  <mergeCells count="36">
    <mergeCell ref="K5:K7"/>
    <mergeCell ref="L5:L7"/>
    <mergeCell ref="M5:M7"/>
    <mergeCell ref="C23:C25"/>
    <mergeCell ref="C26:C28"/>
    <mergeCell ref="E26:E28"/>
    <mergeCell ref="F26:F28"/>
    <mergeCell ref="G26:G28"/>
    <mergeCell ref="H26:H28"/>
    <mergeCell ref="D5:D7"/>
    <mergeCell ref="E5:E7"/>
    <mergeCell ref="F5:F7"/>
    <mergeCell ref="G5:G7"/>
    <mergeCell ref="H5:H7"/>
    <mergeCell ref="I5:I7"/>
    <mergeCell ref="C32:C34"/>
    <mergeCell ref="C35:C37"/>
    <mergeCell ref="C38:C40"/>
    <mergeCell ref="D26:D28"/>
    <mergeCell ref="J5:J7"/>
    <mergeCell ref="C68:C70"/>
    <mergeCell ref="C71:C73"/>
    <mergeCell ref="D23:K25"/>
    <mergeCell ref="C50:C52"/>
    <mergeCell ref="C53:C55"/>
    <mergeCell ref="C56:C58"/>
    <mergeCell ref="C59:C61"/>
    <mergeCell ref="C62:C64"/>
    <mergeCell ref="C65:C67"/>
    <mergeCell ref="I26:I28"/>
    <mergeCell ref="J26:J28"/>
    <mergeCell ref="K26:K28"/>
    <mergeCell ref="C41:C43"/>
    <mergeCell ref="C44:C46"/>
    <mergeCell ref="C47:C49"/>
    <mergeCell ref="C29:C31"/>
  </mergeCells>
  <pageMargins left="0.70866141732283472" right="0.70866141732283472" top="0.74803149606299213" bottom="0.74803149606299213" header="0.31496062992125984" footer="0.31496062992125984"/>
  <pageSetup scale="4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I68"/>
  <sheetViews>
    <sheetView topLeftCell="A44" workbookViewId="0">
      <selection activeCell="J5" sqref="J5"/>
    </sheetView>
  </sheetViews>
  <sheetFormatPr baseColWidth="10" defaultRowHeight="15" x14ac:dyDescent="0.25"/>
  <cols>
    <col min="4" max="4" width="18.140625" customWidth="1"/>
    <col min="6" max="6" width="13.7109375" customWidth="1"/>
    <col min="7" max="7" width="14.85546875" customWidth="1"/>
    <col min="8" max="8" width="18.42578125" customWidth="1"/>
    <col min="9" max="9" width="14.7109375" customWidth="1"/>
  </cols>
  <sheetData>
    <row r="2" spans="3:9" ht="21.75" thickBot="1" x14ac:dyDescent="0.4">
      <c r="E2" s="857" t="s">
        <v>1089</v>
      </c>
      <c r="F2" s="857"/>
      <c r="G2" s="857"/>
    </row>
    <row r="3" spans="3:9" ht="15.75" thickBot="1" x14ac:dyDescent="0.3">
      <c r="H3" s="765" t="s">
        <v>392</v>
      </c>
      <c r="I3" s="767"/>
    </row>
    <row r="4" spans="3:9" x14ac:dyDescent="0.25">
      <c r="C4" s="855" t="s">
        <v>1081</v>
      </c>
      <c r="D4" s="855" t="s">
        <v>1082</v>
      </c>
      <c r="E4" s="855" t="s">
        <v>1083</v>
      </c>
      <c r="F4" s="461" t="s">
        <v>1087</v>
      </c>
      <c r="G4" s="855" t="s">
        <v>1084</v>
      </c>
      <c r="H4" s="460" t="s">
        <v>1086</v>
      </c>
      <c r="I4" s="131" t="s">
        <v>1085</v>
      </c>
    </row>
    <row r="5" spans="3:9" x14ac:dyDescent="0.25">
      <c r="C5" s="856"/>
      <c r="D5" s="856"/>
      <c r="E5" s="856"/>
      <c r="F5" s="462" t="s">
        <v>1088</v>
      </c>
      <c r="G5" s="856"/>
      <c r="H5" s="463" t="s">
        <v>1053</v>
      </c>
      <c r="I5" s="132">
        <v>24000</v>
      </c>
    </row>
    <row r="6" spans="3:9" x14ac:dyDescent="0.25">
      <c r="C6" s="464">
        <v>39934</v>
      </c>
      <c r="D6" s="465" t="s">
        <v>274</v>
      </c>
      <c r="E6" s="465">
        <v>0</v>
      </c>
      <c r="F6" s="465" t="s">
        <v>1050</v>
      </c>
      <c r="G6" s="465" t="s">
        <v>1050</v>
      </c>
      <c r="H6" s="465"/>
      <c r="I6" s="465"/>
    </row>
    <row r="7" spans="3:9" x14ac:dyDescent="0.25">
      <c r="C7" s="464">
        <v>39965</v>
      </c>
      <c r="D7" s="465">
        <v>50</v>
      </c>
      <c r="E7" s="465">
        <v>40</v>
      </c>
      <c r="F7" s="465" t="s">
        <v>1050</v>
      </c>
      <c r="G7" s="465" t="s">
        <v>1050</v>
      </c>
      <c r="H7" s="465"/>
      <c r="I7" s="465"/>
    </row>
    <row r="8" spans="3:9" x14ac:dyDescent="0.25">
      <c r="C8" s="464">
        <v>39995</v>
      </c>
      <c r="D8" s="465">
        <f>D7+E8</f>
        <v>95</v>
      </c>
      <c r="E8" s="465">
        <v>45</v>
      </c>
      <c r="F8" s="465" t="s">
        <v>1050</v>
      </c>
      <c r="G8" s="465" t="s">
        <v>1050</v>
      </c>
      <c r="H8" s="465"/>
      <c r="I8" s="465"/>
    </row>
    <row r="9" spans="3:9" x14ac:dyDescent="0.25">
      <c r="C9" s="464">
        <v>40026</v>
      </c>
      <c r="D9" s="465">
        <f>D8+E9</f>
        <v>140</v>
      </c>
      <c r="E9" s="465">
        <v>45</v>
      </c>
      <c r="F9" s="465" t="s">
        <v>1050</v>
      </c>
      <c r="G9" s="465" t="s">
        <v>1050</v>
      </c>
      <c r="H9" s="465"/>
      <c r="I9" s="465"/>
    </row>
    <row r="10" spans="3:9" x14ac:dyDescent="0.25">
      <c r="C10" s="464">
        <v>40057</v>
      </c>
      <c r="D10" s="465">
        <f t="shared" ref="D10:D67" si="0">D9+E10</f>
        <v>195</v>
      </c>
      <c r="E10" s="465">
        <v>55</v>
      </c>
      <c r="F10" s="465" t="s">
        <v>1050</v>
      </c>
      <c r="G10" s="465" t="s">
        <v>1050</v>
      </c>
      <c r="H10" s="465"/>
      <c r="I10" s="465"/>
    </row>
    <row r="11" spans="3:9" x14ac:dyDescent="0.25">
      <c r="C11" s="464">
        <v>40087</v>
      </c>
      <c r="D11" s="465">
        <f t="shared" si="0"/>
        <v>255</v>
      </c>
      <c r="E11" s="465">
        <v>60</v>
      </c>
      <c r="F11" s="465" t="s">
        <v>1050</v>
      </c>
      <c r="G11" s="465" t="s">
        <v>1050</v>
      </c>
      <c r="H11" s="465"/>
      <c r="I11" s="465"/>
    </row>
    <row r="12" spans="3:9" x14ac:dyDescent="0.25">
      <c r="C12" s="464">
        <v>40118</v>
      </c>
      <c r="D12" s="465">
        <f t="shared" si="0"/>
        <v>320</v>
      </c>
      <c r="E12" s="465">
        <v>65</v>
      </c>
      <c r="F12" s="465" t="s">
        <v>1050</v>
      </c>
      <c r="G12" s="465" t="s">
        <v>1050</v>
      </c>
      <c r="H12" s="465"/>
      <c r="I12" s="465"/>
    </row>
    <row r="13" spans="3:9" x14ac:dyDescent="0.25">
      <c r="C13" s="464">
        <v>40148</v>
      </c>
      <c r="D13" s="465">
        <f t="shared" si="0"/>
        <v>365</v>
      </c>
      <c r="E13" s="465">
        <v>45</v>
      </c>
      <c r="F13" s="465" t="s">
        <v>1050</v>
      </c>
      <c r="G13" s="465" t="s">
        <v>1050</v>
      </c>
      <c r="H13" s="465"/>
      <c r="I13" s="465"/>
    </row>
    <row r="14" spans="3:9" x14ac:dyDescent="0.25">
      <c r="C14" s="464">
        <v>40179</v>
      </c>
      <c r="D14" s="465">
        <f t="shared" si="0"/>
        <v>420</v>
      </c>
      <c r="E14" s="465">
        <v>55</v>
      </c>
      <c r="F14" s="465" t="s">
        <v>1050</v>
      </c>
      <c r="G14" s="465" t="s">
        <v>1050</v>
      </c>
      <c r="H14" s="465"/>
      <c r="I14" s="465"/>
    </row>
    <row r="15" spans="3:9" x14ac:dyDescent="0.25">
      <c r="C15" s="464">
        <v>40210</v>
      </c>
      <c r="D15" s="465">
        <f t="shared" si="0"/>
        <v>485</v>
      </c>
      <c r="E15" s="465">
        <v>65</v>
      </c>
      <c r="F15" s="465" t="s">
        <v>1050</v>
      </c>
      <c r="G15" s="465" t="s">
        <v>1050</v>
      </c>
      <c r="H15" s="465"/>
      <c r="I15" s="465"/>
    </row>
    <row r="16" spans="3:9" x14ac:dyDescent="0.25">
      <c r="C16" s="464">
        <v>40238</v>
      </c>
      <c r="D16" s="465">
        <f t="shared" si="0"/>
        <v>541</v>
      </c>
      <c r="E16" s="465">
        <v>56</v>
      </c>
      <c r="F16" s="465" t="s">
        <v>1050</v>
      </c>
      <c r="G16" s="465" t="s">
        <v>1050</v>
      </c>
      <c r="H16" s="465"/>
      <c r="I16" s="465"/>
    </row>
    <row r="17" spans="3:9" x14ac:dyDescent="0.25">
      <c r="C17" s="464">
        <v>40269</v>
      </c>
      <c r="D17" s="465">
        <f t="shared" si="0"/>
        <v>591</v>
      </c>
      <c r="E17" s="465">
        <v>50</v>
      </c>
      <c r="F17" s="465" t="s">
        <v>1050</v>
      </c>
      <c r="G17" s="465" t="s">
        <v>1050</v>
      </c>
      <c r="H17" s="465"/>
      <c r="I17" s="465"/>
    </row>
    <row r="18" spans="3:9" x14ac:dyDescent="0.25">
      <c r="C18" s="464">
        <v>40299</v>
      </c>
      <c r="D18" s="465">
        <f t="shared" si="0"/>
        <v>641</v>
      </c>
      <c r="E18" s="465">
        <v>50</v>
      </c>
      <c r="F18" s="465" t="s">
        <v>1050</v>
      </c>
      <c r="G18" s="465" t="s">
        <v>1050</v>
      </c>
      <c r="H18" s="465"/>
      <c r="I18" s="465"/>
    </row>
    <row r="19" spans="3:9" x14ac:dyDescent="0.25">
      <c r="C19" s="464">
        <v>40330</v>
      </c>
      <c r="D19" s="465">
        <f t="shared" si="0"/>
        <v>706</v>
      </c>
      <c r="E19" s="465">
        <v>65</v>
      </c>
      <c r="F19" s="465" t="s">
        <v>1050</v>
      </c>
      <c r="G19" s="465" t="s">
        <v>1050</v>
      </c>
      <c r="H19" s="465"/>
      <c r="I19" s="465"/>
    </row>
    <row r="20" spans="3:9" x14ac:dyDescent="0.25">
      <c r="C20" s="464">
        <v>40360</v>
      </c>
      <c r="D20" s="465">
        <f t="shared" si="0"/>
        <v>771</v>
      </c>
      <c r="E20" s="465">
        <v>65</v>
      </c>
      <c r="F20" s="465" t="s">
        <v>1050</v>
      </c>
      <c r="G20" s="465" t="s">
        <v>1050</v>
      </c>
      <c r="H20" s="465"/>
      <c r="I20" s="465"/>
    </row>
    <row r="21" spans="3:9" x14ac:dyDescent="0.25">
      <c r="C21" s="464">
        <v>40391</v>
      </c>
      <c r="D21" s="465">
        <f t="shared" si="0"/>
        <v>821</v>
      </c>
      <c r="E21" s="465">
        <v>50</v>
      </c>
      <c r="F21" s="465" t="s">
        <v>1050</v>
      </c>
      <c r="G21" s="465" t="s">
        <v>1050</v>
      </c>
      <c r="H21" s="465"/>
      <c r="I21" s="465"/>
    </row>
    <row r="22" spans="3:9" x14ac:dyDescent="0.25">
      <c r="C22" s="464">
        <v>40422</v>
      </c>
      <c r="D22" s="465">
        <f t="shared" si="0"/>
        <v>876</v>
      </c>
      <c r="E22" s="465">
        <v>55</v>
      </c>
      <c r="F22" s="465" t="s">
        <v>1050</v>
      </c>
      <c r="G22" s="465" t="s">
        <v>1050</v>
      </c>
      <c r="H22" s="465"/>
      <c r="I22" s="465"/>
    </row>
    <row r="23" spans="3:9" x14ac:dyDescent="0.25">
      <c r="C23" s="464">
        <v>40452</v>
      </c>
      <c r="D23" s="465">
        <f t="shared" si="0"/>
        <v>926</v>
      </c>
      <c r="E23" s="465">
        <v>50</v>
      </c>
      <c r="F23" s="465" t="s">
        <v>1050</v>
      </c>
      <c r="G23" s="465" t="s">
        <v>1050</v>
      </c>
      <c r="H23" s="465"/>
      <c r="I23" s="465"/>
    </row>
    <row r="24" spans="3:9" x14ac:dyDescent="0.25">
      <c r="C24" s="464">
        <v>40483</v>
      </c>
      <c r="D24" s="465">
        <f t="shared" si="0"/>
        <v>984</v>
      </c>
      <c r="E24" s="465">
        <v>58</v>
      </c>
      <c r="F24" s="465" t="s">
        <v>1050</v>
      </c>
      <c r="G24" s="465" t="s">
        <v>1050</v>
      </c>
      <c r="H24" s="465"/>
      <c r="I24" s="465"/>
    </row>
    <row r="25" spans="3:9" x14ac:dyDescent="0.25">
      <c r="C25" s="464">
        <v>40513</v>
      </c>
      <c r="D25" s="465">
        <f t="shared" si="0"/>
        <v>1044</v>
      </c>
      <c r="E25" s="465">
        <v>60</v>
      </c>
      <c r="F25" s="465" t="s">
        <v>1050</v>
      </c>
      <c r="G25" s="465" t="s">
        <v>1050</v>
      </c>
      <c r="H25" s="465"/>
      <c r="I25" s="465"/>
    </row>
    <row r="26" spans="3:9" x14ac:dyDescent="0.25">
      <c r="C26" s="464">
        <v>40544</v>
      </c>
      <c r="D26" s="465">
        <f t="shared" si="0"/>
        <v>1099</v>
      </c>
      <c r="E26" s="465">
        <v>55</v>
      </c>
      <c r="F26" s="465" t="s">
        <v>1050</v>
      </c>
      <c r="G26" s="465" t="s">
        <v>1050</v>
      </c>
      <c r="H26" s="465"/>
      <c r="I26" s="465"/>
    </row>
    <row r="27" spans="3:9" x14ac:dyDescent="0.25">
      <c r="C27" s="464">
        <v>40575</v>
      </c>
      <c r="D27" s="465">
        <f t="shared" si="0"/>
        <v>1164</v>
      </c>
      <c r="E27" s="465">
        <v>65</v>
      </c>
      <c r="F27" s="465" t="s">
        <v>1050</v>
      </c>
      <c r="G27" s="465" t="s">
        <v>1050</v>
      </c>
      <c r="H27" s="465"/>
      <c r="I27" s="465"/>
    </row>
    <row r="28" spans="3:9" x14ac:dyDescent="0.25">
      <c r="C28" s="464">
        <v>40603</v>
      </c>
      <c r="D28" s="465">
        <f t="shared" si="0"/>
        <v>1209</v>
      </c>
      <c r="E28" s="465">
        <v>45</v>
      </c>
      <c r="F28" s="465" t="s">
        <v>1050</v>
      </c>
      <c r="G28" s="465" t="s">
        <v>1050</v>
      </c>
      <c r="H28" s="465"/>
      <c r="I28" s="465"/>
    </row>
    <row r="29" spans="3:9" x14ac:dyDescent="0.25">
      <c r="C29" s="464">
        <v>40634</v>
      </c>
      <c r="D29" s="465">
        <f t="shared" si="0"/>
        <v>1269</v>
      </c>
      <c r="E29" s="465">
        <v>60</v>
      </c>
      <c r="F29" s="465" t="s">
        <v>1050</v>
      </c>
      <c r="G29" s="465" t="s">
        <v>1050</v>
      </c>
      <c r="H29" s="465"/>
      <c r="I29" s="465"/>
    </row>
    <row r="30" spans="3:9" x14ac:dyDescent="0.25">
      <c r="C30" s="464">
        <v>40664</v>
      </c>
      <c r="D30" s="465">
        <f t="shared" si="0"/>
        <v>1319</v>
      </c>
      <c r="E30" s="465">
        <v>50</v>
      </c>
      <c r="F30" s="465" t="s">
        <v>1050</v>
      </c>
      <c r="G30" s="465" t="s">
        <v>1050</v>
      </c>
      <c r="H30" s="465"/>
      <c r="I30" s="465"/>
    </row>
    <row r="31" spans="3:9" x14ac:dyDescent="0.25">
      <c r="C31" s="464">
        <v>40695</v>
      </c>
      <c r="D31" s="465">
        <f t="shared" si="0"/>
        <v>1374</v>
      </c>
      <c r="E31" s="465">
        <v>55</v>
      </c>
      <c r="F31" s="465" t="s">
        <v>1050</v>
      </c>
      <c r="G31" s="465" t="s">
        <v>1050</v>
      </c>
      <c r="H31" s="465"/>
      <c r="I31" s="465"/>
    </row>
    <row r="32" spans="3:9" x14ac:dyDescent="0.25">
      <c r="C32" s="464">
        <v>40725</v>
      </c>
      <c r="D32" s="465">
        <f t="shared" si="0"/>
        <v>1431</v>
      </c>
      <c r="E32" s="465">
        <v>57</v>
      </c>
      <c r="F32" s="465" t="s">
        <v>1050</v>
      </c>
      <c r="G32" s="465" t="s">
        <v>1050</v>
      </c>
      <c r="H32" s="465"/>
      <c r="I32" s="465"/>
    </row>
    <row r="33" spans="3:9" x14ac:dyDescent="0.25">
      <c r="C33" s="464">
        <v>40756</v>
      </c>
      <c r="D33" s="465">
        <f t="shared" si="0"/>
        <v>1481</v>
      </c>
      <c r="E33" s="465">
        <v>50</v>
      </c>
      <c r="F33" s="465" t="s">
        <v>1050</v>
      </c>
      <c r="G33" s="465" t="s">
        <v>1050</v>
      </c>
      <c r="H33" s="465"/>
      <c r="I33" s="465"/>
    </row>
    <row r="34" spans="3:9" x14ac:dyDescent="0.25">
      <c r="C34" s="464">
        <v>40787</v>
      </c>
      <c r="D34" s="465">
        <f t="shared" si="0"/>
        <v>1531</v>
      </c>
      <c r="E34" s="465">
        <v>50</v>
      </c>
      <c r="F34" s="465" t="s">
        <v>1050</v>
      </c>
      <c r="G34" s="465" t="s">
        <v>1050</v>
      </c>
      <c r="H34" s="465"/>
      <c r="I34" s="465"/>
    </row>
    <row r="35" spans="3:9" x14ac:dyDescent="0.25">
      <c r="C35" s="464">
        <v>40817</v>
      </c>
      <c r="D35" s="465">
        <f t="shared" si="0"/>
        <v>1576</v>
      </c>
      <c r="E35" s="465">
        <v>45</v>
      </c>
      <c r="F35" s="465" t="s">
        <v>1050</v>
      </c>
      <c r="G35" s="465" t="s">
        <v>1050</v>
      </c>
      <c r="H35" s="465"/>
      <c r="I35" s="465"/>
    </row>
    <row r="36" spans="3:9" x14ac:dyDescent="0.25">
      <c r="C36" s="464">
        <v>40848</v>
      </c>
      <c r="D36" s="465">
        <f t="shared" si="0"/>
        <v>1631</v>
      </c>
      <c r="E36" s="465">
        <v>55</v>
      </c>
      <c r="F36" s="465" t="s">
        <v>1050</v>
      </c>
      <c r="G36" s="465" t="s">
        <v>1050</v>
      </c>
      <c r="H36" s="465"/>
      <c r="I36" s="465"/>
    </row>
    <row r="37" spans="3:9" x14ac:dyDescent="0.25">
      <c r="C37" s="464">
        <v>40878</v>
      </c>
      <c r="D37" s="465">
        <f t="shared" si="0"/>
        <v>1686</v>
      </c>
      <c r="E37" s="465">
        <v>55</v>
      </c>
      <c r="F37" s="465" t="s">
        <v>1050</v>
      </c>
      <c r="G37" s="465" t="s">
        <v>1050</v>
      </c>
      <c r="H37" s="465"/>
      <c r="I37" s="465"/>
    </row>
    <row r="38" spans="3:9" x14ac:dyDescent="0.25">
      <c r="C38" s="464">
        <v>40909</v>
      </c>
      <c r="D38" s="465">
        <f t="shared" si="0"/>
        <v>1726</v>
      </c>
      <c r="E38" s="465">
        <v>40</v>
      </c>
      <c r="F38" s="465" t="s">
        <v>1050</v>
      </c>
      <c r="G38" s="465" t="s">
        <v>1050</v>
      </c>
      <c r="H38" s="465"/>
      <c r="I38" s="465"/>
    </row>
    <row r="39" spans="3:9" x14ac:dyDescent="0.25">
      <c r="C39" s="464">
        <v>40940</v>
      </c>
      <c r="D39" s="465">
        <f t="shared" si="0"/>
        <v>1781</v>
      </c>
      <c r="E39" s="465">
        <v>55</v>
      </c>
      <c r="F39" s="465" t="s">
        <v>1050</v>
      </c>
      <c r="G39" s="465" t="s">
        <v>1050</v>
      </c>
      <c r="H39" s="465"/>
      <c r="I39" s="465"/>
    </row>
    <row r="40" spans="3:9" x14ac:dyDescent="0.25">
      <c r="C40" s="464">
        <v>40969</v>
      </c>
      <c r="D40" s="465">
        <f t="shared" si="0"/>
        <v>1831</v>
      </c>
      <c r="E40" s="465">
        <v>50</v>
      </c>
      <c r="F40" s="465" t="s">
        <v>1050</v>
      </c>
      <c r="G40" s="465" t="s">
        <v>1050</v>
      </c>
      <c r="H40" s="465"/>
      <c r="I40" s="465"/>
    </row>
    <row r="41" spans="3:9" x14ac:dyDescent="0.25">
      <c r="C41" s="464">
        <v>41000</v>
      </c>
      <c r="D41" s="465">
        <f t="shared" si="0"/>
        <v>1891</v>
      </c>
      <c r="E41" s="465">
        <v>60</v>
      </c>
      <c r="F41" s="465" t="s">
        <v>1050</v>
      </c>
      <c r="G41" s="465" t="s">
        <v>1050</v>
      </c>
      <c r="H41" s="465"/>
      <c r="I41" s="465"/>
    </row>
    <row r="42" spans="3:9" x14ac:dyDescent="0.25">
      <c r="C42" s="464">
        <v>41030</v>
      </c>
      <c r="D42" s="465">
        <f t="shared" si="0"/>
        <v>1931</v>
      </c>
      <c r="E42" s="465">
        <v>40</v>
      </c>
      <c r="F42" s="465" t="s">
        <v>1050</v>
      </c>
      <c r="G42" s="465" t="s">
        <v>1050</v>
      </c>
      <c r="H42" s="465"/>
      <c r="I42" s="465"/>
    </row>
    <row r="43" spans="3:9" x14ac:dyDescent="0.25">
      <c r="C43" s="464">
        <v>41061</v>
      </c>
      <c r="D43" s="465">
        <f t="shared" si="0"/>
        <v>1986</v>
      </c>
      <c r="E43" s="465">
        <v>55</v>
      </c>
      <c r="F43" s="465" t="s">
        <v>1050</v>
      </c>
      <c r="G43" s="465" t="s">
        <v>1050</v>
      </c>
      <c r="H43" s="465"/>
      <c r="I43" s="465"/>
    </row>
    <row r="44" spans="3:9" x14ac:dyDescent="0.25">
      <c r="C44" s="464">
        <v>41091</v>
      </c>
      <c r="D44" s="465">
        <f t="shared" si="0"/>
        <v>2041</v>
      </c>
      <c r="E44" s="465">
        <v>55</v>
      </c>
      <c r="F44" s="465" t="s">
        <v>1050</v>
      </c>
      <c r="G44" s="465" t="s">
        <v>1050</v>
      </c>
      <c r="H44" s="465"/>
      <c r="I44" s="465"/>
    </row>
    <row r="45" spans="3:9" x14ac:dyDescent="0.25">
      <c r="C45" s="464">
        <v>41122</v>
      </c>
      <c r="D45" s="465">
        <f t="shared" si="0"/>
        <v>2091</v>
      </c>
      <c r="E45" s="465">
        <v>50</v>
      </c>
      <c r="F45" s="465" t="s">
        <v>1050</v>
      </c>
      <c r="G45" s="465" t="s">
        <v>1050</v>
      </c>
      <c r="H45" s="465"/>
      <c r="I45" s="465"/>
    </row>
    <row r="46" spans="3:9" x14ac:dyDescent="0.25">
      <c r="C46" s="464">
        <v>41153</v>
      </c>
      <c r="D46" s="465">
        <f t="shared" si="0"/>
        <v>2146</v>
      </c>
      <c r="E46" s="465">
        <v>55</v>
      </c>
      <c r="F46" s="465" t="s">
        <v>1050</v>
      </c>
      <c r="G46" s="465" t="s">
        <v>1050</v>
      </c>
      <c r="H46" s="465"/>
      <c r="I46" s="465"/>
    </row>
    <row r="47" spans="3:9" x14ac:dyDescent="0.25">
      <c r="C47" s="464">
        <v>41183</v>
      </c>
      <c r="D47" s="465">
        <f t="shared" si="0"/>
        <v>2196</v>
      </c>
      <c r="E47" s="465">
        <v>50</v>
      </c>
      <c r="F47" s="465" t="s">
        <v>1050</v>
      </c>
      <c r="G47" s="465" t="s">
        <v>1050</v>
      </c>
      <c r="H47" s="465"/>
      <c r="I47" s="465"/>
    </row>
    <row r="48" spans="3:9" x14ac:dyDescent="0.25">
      <c r="C48" s="464">
        <v>41214</v>
      </c>
      <c r="D48" s="465">
        <f t="shared" si="0"/>
        <v>2251</v>
      </c>
      <c r="E48" s="465">
        <v>55</v>
      </c>
      <c r="F48" s="465" t="s">
        <v>1050</v>
      </c>
      <c r="G48" s="465" t="s">
        <v>1050</v>
      </c>
      <c r="H48" s="465"/>
      <c r="I48" s="465"/>
    </row>
    <row r="49" spans="3:9" x14ac:dyDescent="0.25">
      <c r="C49" s="464">
        <v>41244</v>
      </c>
      <c r="D49" s="465">
        <f t="shared" si="0"/>
        <v>2301</v>
      </c>
      <c r="E49" s="465">
        <v>50</v>
      </c>
      <c r="F49" s="465" t="s">
        <v>1050</v>
      </c>
      <c r="G49" s="465" t="s">
        <v>1050</v>
      </c>
      <c r="H49" s="465"/>
      <c r="I49" s="465"/>
    </row>
    <row r="50" spans="3:9" x14ac:dyDescent="0.25">
      <c r="C50" s="464">
        <v>41275</v>
      </c>
      <c r="D50" s="465">
        <f t="shared" si="0"/>
        <v>2356</v>
      </c>
      <c r="E50" s="465">
        <v>55</v>
      </c>
      <c r="F50" s="465" t="s">
        <v>1050</v>
      </c>
      <c r="G50" s="465" t="s">
        <v>1050</v>
      </c>
      <c r="H50" s="465"/>
      <c r="I50" s="465"/>
    </row>
    <row r="51" spans="3:9" x14ac:dyDescent="0.25">
      <c r="C51" s="464">
        <v>41306</v>
      </c>
      <c r="D51" s="465">
        <f t="shared" si="0"/>
        <v>2406</v>
      </c>
      <c r="E51" s="465">
        <v>50</v>
      </c>
      <c r="F51" s="465" t="s">
        <v>1050</v>
      </c>
      <c r="G51" s="465" t="s">
        <v>1050</v>
      </c>
      <c r="H51" s="465"/>
      <c r="I51" s="465"/>
    </row>
    <row r="52" spans="3:9" x14ac:dyDescent="0.25">
      <c r="C52" s="464">
        <v>41334</v>
      </c>
      <c r="D52" s="465">
        <f t="shared" si="0"/>
        <v>2451</v>
      </c>
      <c r="E52" s="465">
        <v>45</v>
      </c>
      <c r="F52" s="465" t="s">
        <v>1050</v>
      </c>
      <c r="G52" s="465" t="s">
        <v>1050</v>
      </c>
      <c r="H52" s="465"/>
      <c r="I52" s="465"/>
    </row>
    <row r="53" spans="3:9" x14ac:dyDescent="0.25">
      <c r="C53" s="464">
        <v>41365</v>
      </c>
      <c r="D53" s="465">
        <f t="shared" si="0"/>
        <v>2506</v>
      </c>
      <c r="E53" s="465">
        <v>55</v>
      </c>
      <c r="F53" s="465" t="s">
        <v>1050</v>
      </c>
      <c r="G53" s="465" t="s">
        <v>1050</v>
      </c>
      <c r="H53" s="465"/>
      <c r="I53" s="465"/>
    </row>
    <row r="54" spans="3:9" x14ac:dyDescent="0.25">
      <c r="C54" s="464">
        <v>41395</v>
      </c>
      <c r="D54" s="465">
        <f t="shared" si="0"/>
        <v>2551</v>
      </c>
      <c r="E54" s="465">
        <v>45</v>
      </c>
      <c r="F54" s="465" t="s">
        <v>1050</v>
      </c>
      <c r="G54" s="465" t="s">
        <v>1050</v>
      </c>
      <c r="H54" s="465"/>
      <c r="I54" s="465"/>
    </row>
    <row r="55" spans="3:9" x14ac:dyDescent="0.25">
      <c r="C55" s="464">
        <v>41426</v>
      </c>
      <c r="D55" s="465">
        <f t="shared" si="0"/>
        <v>2601</v>
      </c>
      <c r="E55" s="465">
        <v>50</v>
      </c>
      <c r="F55" s="465" t="s">
        <v>1050</v>
      </c>
      <c r="G55" s="465" t="s">
        <v>1050</v>
      </c>
      <c r="H55" s="465"/>
      <c r="I55" s="465"/>
    </row>
    <row r="56" spans="3:9" x14ac:dyDescent="0.25">
      <c r="C56" s="464">
        <v>41456</v>
      </c>
      <c r="D56" s="465">
        <f t="shared" si="0"/>
        <v>2651</v>
      </c>
      <c r="E56" s="465">
        <v>50</v>
      </c>
      <c r="F56" s="465" t="s">
        <v>1050</v>
      </c>
      <c r="G56" s="465" t="s">
        <v>1050</v>
      </c>
      <c r="H56" s="465"/>
      <c r="I56" s="465"/>
    </row>
    <row r="57" spans="3:9" x14ac:dyDescent="0.25">
      <c r="C57" s="464">
        <v>41487</v>
      </c>
      <c r="D57" s="465">
        <f t="shared" si="0"/>
        <v>2716</v>
      </c>
      <c r="E57" s="465">
        <v>65</v>
      </c>
      <c r="F57" s="465" t="s">
        <v>1050</v>
      </c>
      <c r="G57" s="465" t="s">
        <v>1050</v>
      </c>
      <c r="H57" s="465"/>
      <c r="I57" s="465"/>
    </row>
    <row r="58" spans="3:9" x14ac:dyDescent="0.25">
      <c r="C58" s="464">
        <v>41518</v>
      </c>
      <c r="D58" s="465">
        <f t="shared" si="0"/>
        <v>2771</v>
      </c>
      <c r="E58" s="465">
        <v>55</v>
      </c>
      <c r="F58" s="465" t="s">
        <v>1050</v>
      </c>
      <c r="G58" s="465" t="s">
        <v>1050</v>
      </c>
      <c r="H58" s="465"/>
      <c r="I58" s="465"/>
    </row>
    <row r="59" spans="3:9" x14ac:dyDescent="0.25">
      <c r="C59" s="464">
        <v>41548</v>
      </c>
      <c r="D59" s="465">
        <f t="shared" si="0"/>
        <v>2826</v>
      </c>
      <c r="E59" s="465">
        <v>55</v>
      </c>
      <c r="F59" s="465" t="s">
        <v>1050</v>
      </c>
      <c r="G59" s="465" t="s">
        <v>1050</v>
      </c>
      <c r="H59" s="465"/>
      <c r="I59" s="465"/>
    </row>
    <row r="60" spans="3:9" x14ac:dyDescent="0.25">
      <c r="C60" s="464">
        <v>41579</v>
      </c>
      <c r="D60" s="465">
        <f t="shared" si="0"/>
        <v>2876</v>
      </c>
      <c r="E60" s="465">
        <v>50</v>
      </c>
      <c r="F60" s="465" t="s">
        <v>1050</v>
      </c>
      <c r="G60" s="465" t="s">
        <v>1050</v>
      </c>
      <c r="H60" s="465"/>
      <c r="I60" s="465"/>
    </row>
    <row r="61" spans="3:9" x14ac:dyDescent="0.25">
      <c r="C61" s="464">
        <v>41609</v>
      </c>
      <c r="D61" s="465">
        <f t="shared" si="0"/>
        <v>2926</v>
      </c>
      <c r="E61" s="465">
        <v>50</v>
      </c>
      <c r="F61" s="465" t="s">
        <v>1050</v>
      </c>
      <c r="G61" s="465" t="s">
        <v>1050</v>
      </c>
      <c r="H61" s="465"/>
      <c r="I61" s="465"/>
    </row>
    <row r="62" spans="3:9" x14ac:dyDescent="0.25">
      <c r="C62" s="464">
        <v>41640</v>
      </c>
      <c r="D62" s="465">
        <f t="shared" si="0"/>
        <v>2981</v>
      </c>
      <c r="E62" s="465">
        <v>55</v>
      </c>
      <c r="F62" s="465" t="s">
        <v>1050</v>
      </c>
      <c r="G62" s="465" t="s">
        <v>1050</v>
      </c>
      <c r="H62" s="465"/>
      <c r="I62" s="465"/>
    </row>
    <row r="63" spans="3:9" x14ac:dyDescent="0.25">
      <c r="C63" s="464">
        <v>41671</v>
      </c>
      <c r="D63" s="465">
        <f t="shared" si="0"/>
        <v>3026</v>
      </c>
      <c r="E63" s="465">
        <v>45</v>
      </c>
      <c r="F63" s="465" t="s">
        <v>1050</v>
      </c>
      <c r="G63" s="465" t="s">
        <v>1050</v>
      </c>
      <c r="H63" s="465"/>
      <c r="I63" s="465"/>
    </row>
    <row r="64" spans="3:9" x14ac:dyDescent="0.25">
      <c r="C64" s="464">
        <v>41699</v>
      </c>
      <c r="D64" s="465">
        <f t="shared" si="0"/>
        <v>3091</v>
      </c>
      <c r="E64" s="465">
        <v>65</v>
      </c>
      <c r="F64" s="465" t="s">
        <v>1050</v>
      </c>
      <c r="G64" s="465" t="s">
        <v>1050</v>
      </c>
      <c r="H64" s="465"/>
      <c r="I64" s="465"/>
    </row>
    <row r="65" spans="3:9" x14ac:dyDescent="0.25">
      <c r="C65" s="464">
        <v>41730</v>
      </c>
      <c r="D65" s="465">
        <f t="shared" si="0"/>
        <v>3146</v>
      </c>
      <c r="E65" s="465">
        <v>55</v>
      </c>
      <c r="F65" s="465" t="s">
        <v>1050</v>
      </c>
      <c r="G65" s="465" t="s">
        <v>1050</v>
      </c>
      <c r="H65" s="465" t="s">
        <v>1054</v>
      </c>
      <c r="I65" s="465"/>
    </row>
    <row r="66" spans="3:9" x14ac:dyDescent="0.25">
      <c r="C66" s="464">
        <v>41760</v>
      </c>
      <c r="D66" s="465">
        <f t="shared" si="0"/>
        <v>3201</v>
      </c>
      <c r="E66" s="465">
        <v>55</v>
      </c>
      <c r="F66" s="465" t="s">
        <v>1050</v>
      </c>
      <c r="G66" s="465" t="s">
        <v>1050</v>
      </c>
      <c r="H66" s="465"/>
      <c r="I66" s="465"/>
    </row>
    <row r="67" spans="3:9" x14ac:dyDescent="0.25">
      <c r="C67" s="464">
        <v>41791</v>
      </c>
      <c r="D67" s="465">
        <f t="shared" si="0"/>
        <v>3246</v>
      </c>
      <c r="E67" s="465">
        <v>45</v>
      </c>
      <c r="F67" s="465" t="s">
        <v>1050</v>
      </c>
      <c r="G67" s="465" t="s">
        <v>1050</v>
      </c>
      <c r="H67" s="465"/>
      <c r="I67" s="465"/>
    </row>
    <row r="68" spans="3:9" x14ac:dyDescent="0.25">
      <c r="C68" s="464">
        <v>41821</v>
      </c>
      <c r="D68" s="465"/>
      <c r="E68" s="465"/>
      <c r="F68" s="465"/>
      <c r="G68" s="465"/>
      <c r="H68" s="465"/>
      <c r="I68" s="465"/>
    </row>
  </sheetData>
  <mergeCells count="6">
    <mergeCell ref="G4:G5"/>
    <mergeCell ref="H3:I3"/>
    <mergeCell ref="E2:G2"/>
    <mergeCell ref="C4:C5"/>
    <mergeCell ref="D4:D5"/>
    <mergeCell ref="E4:E5"/>
  </mergeCells>
  <pageMargins left="0.70866141732283472" right="0.70866141732283472" top="0.74803149606299213" bottom="0.74803149606299213" header="0.31496062992125984" footer="0.31496062992125984"/>
  <pageSetup scale="6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I28"/>
  <sheetViews>
    <sheetView topLeftCell="A4" workbookViewId="0">
      <selection activeCell="I8" sqref="I8"/>
    </sheetView>
  </sheetViews>
  <sheetFormatPr baseColWidth="10" defaultRowHeight="15" x14ac:dyDescent="0.25"/>
  <cols>
    <col min="4" max="4" width="18.5703125" customWidth="1"/>
    <col min="5" max="5" width="17" customWidth="1"/>
    <col min="6" max="6" width="21" customWidth="1"/>
    <col min="7" max="7" width="22.7109375" customWidth="1"/>
    <col min="8" max="8" width="34.28515625" customWidth="1"/>
  </cols>
  <sheetData>
    <row r="5" spans="4:9" ht="15.75" thickBot="1" x14ac:dyDescent="0.3"/>
    <row r="6" spans="4:9" ht="15.75" thickBot="1" x14ac:dyDescent="0.3">
      <c r="E6" s="765" t="s">
        <v>1098</v>
      </c>
      <c r="F6" s="766"/>
      <c r="G6" s="767"/>
    </row>
    <row r="7" spans="4:9" x14ac:dyDescent="0.25">
      <c r="D7" s="465" t="s">
        <v>944</v>
      </c>
      <c r="E7" s="466" t="s">
        <v>1101</v>
      </c>
      <c r="F7" s="466" t="s">
        <v>1099</v>
      </c>
      <c r="G7" s="466" t="s">
        <v>1100</v>
      </c>
      <c r="H7" s="465" t="s">
        <v>1102</v>
      </c>
      <c r="I7" s="469" t="s">
        <v>1106</v>
      </c>
    </row>
    <row r="8" spans="4:9" x14ac:dyDescent="0.25">
      <c r="D8" s="467">
        <v>41911</v>
      </c>
      <c r="E8" s="468">
        <v>0.47916666666666669</v>
      </c>
      <c r="F8" s="465" t="s">
        <v>1103</v>
      </c>
      <c r="G8" s="465" t="s">
        <v>1104</v>
      </c>
      <c r="H8" s="371" t="s">
        <v>1105</v>
      </c>
    </row>
    <row r="9" spans="4:9" x14ac:dyDescent="0.25">
      <c r="D9" s="371"/>
      <c r="E9" s="371"/>
      <c r="F9" s="371"/>
      <c r="G9" s="371"/>
      <c r="H9" s="371"/>
    </row>
    <row r="10" spans="4:9" x14ac:dyDescent="0.25">
      <c r="D10" s="371"/>
      <c r="E10" s="371"/>
      <c r="F10" s="371"/>
      <c r="G10" s="371"/>
      <c r="H10" s="371"/>
    </row>
    <row r="11" spans="4:9" x14ac:dyDescent="0.25">
      <c r="D11" s="371"/>
      <c r="E11" s="371"/>
      <c r="F11" s="371"/>
      <c r="G11" s="371"/>
      <c r="H11" s="371"/>
    </row>
    <row r="12" spans="4:9" x14ac:dyDescent="0.25">
      <c r="D12" s="371"/>
      <c r="E12" s="371"/>
      <c r="F12" s="371"/>
      <c r="G12" s="371"/>
      <c r="H12" s="371"/>
    </row>
    <row r="13" spans="4:9" x14ac:dyDescent="0.25">
      <c r="D13" s="371"/>
      <c r="E13" s="371"/>
      <c r="F13" s="371"/>
      <c r="G13" s="371"/>
      <c r="H13" s="371"/>
    </row>
    <row r="14" spans="4:9" x14ac:dyDescent="0.25">
      <c r="D14" s="371"/>
      <c r="E14" s="371"/>
      <c r="F14" s="371"/>
      <c r="G14" s="371"/>
      <c r="H14" s="371"/>
    </row>
    <row r="15" spans="4:9" x14ac:dyDescent="0.25">
      <c r="D15" s="371"/>
      <c r="E15" s="371"/>
      <c r="F15" s="371"/>
      <c r="G15" s="371"/>
      <c r="H15" s="371"/>
    </row>
    <row r="16" spans="4:9" x14ac:dyDescent="0.25">
      <c r="D16" s="371"/>
      <c r="E16" s="371"/>
      <c r="F16" s="371"/>
      <c r="G16" s="371"/>
      <c r="H16" s="371"/>
    </row>
    <row r="17" spans="4:8" x14ac:dyDescent="0.25">
      <c r="D17" s="371"/>
      <c r="E17" s="371"/>
      <c r="F17" s="371"/>
      <c r="G17" s="371"/>
      <c r="H17" s="371"/>
    </row>
    <row r="18" spans="4:8" x14ac:dyDescent="0.25">
      <c r="D18" s="371"/>
      <c r="E18" s="371"/>
      <c r="F18" s="371"/>
      <c r="G18" s="371"/>
      <c r="H18" s="371"/>
    </row>
    <row r="19" spans="4:8" x14ac:dyDescent="0.25">
      <c r="D19" s="371"/>
      <c r="E19" s="371"/>
      <c r="F19" s="371"/>
      <c r="G19" s="371"/>
      <c r="H19" s="371"/>
    </row>
    <row r="20" spans="4:8" x14ac:dyDescent="0.25">
      <c r="D20" s="371"/>
      <c r="E20" s="371"/>
      <c r="F20" s="371"/>
      <c r="G20" s="371"/>
      <c r="H20" s="371"/>
    </row>
    <row r="21" spans="4:8" x14ac:dyDescent="0.25">
      <c r="D21" s="371"/>
      <c r="E21" s="371"/>
      <c r="F21" s="371"/>
      <c r="G21" s="371"/>
      <c r="H21" s="371"/>
    </row>
    <row r="22" spans="4:8" x14ac:dyDescent="0.25">
      <c r="D22" s="371"/>
      <c r="E22" s="371"/>
      <c r="F22" s="371"/>
      <c r="G22" s="371"/>
      <c r="H22" s="371"/>
    </row>
    <row r="23" spans="4:8" x14ac:dyDescent="0.25">
      <c r="D23" s="371"/>
      <c r="E23" s="371"/>
      <c r="F23" s="371"/>
      <c r="G23" s="371"/>
      <c r="H23" s="371"/>
    </row>
    <row r="24" spans="4:8" x14ac:dyDescent="0.25">
      <c r="D24" s="371"/>
      <c r="E24" s="371"/>
      <c r="F24" s="371"/>
      <c r="G24" s="371"/>
      <c r="H24" s="371"/>
    </row>
    <row r="25" spans="4:8" x14ac:dyDescent="0.25">
      <c r="D25" s="371"/>
      <c r="E25" s="371"/>
      <c r="F25" s="371"/>
      <c r="G25" s="371"/>
      <c r="H25" s="371"/>
    </row>
    <row r="26" spans="4:8" x14ac:dyDescent="0.25">
      <c r="D26" s="371"/>
      <c r="E26" s="371"/>
      <c r="F26" s="371"/>
      <c r="G26" s="371"/>
      <c r="H26" s="371"/>
    </row>
    <row r="27" spans="4:8" x14ac:dyDescent="0.25">
      <c r="D27" s="371"/>
      <c r="E27" s="371"/>
      <c r="F27" s="371"/>
      <c r="G27" s="371"/>
      <c r="H27" s="371"/>
    </row>
    <row r="28" spans="4:8" x14ac:dyDescent="0.25">
      <c r="D28" s="371"/>
      <c r="E28" s="371"/>
      <c r="F28" s="371"/>
      <c r="G28" s="371"/>
      <c r="H28" s="371"/>
    </row>
  </sheetData>
  <mergeCells count="1">
    <mergeCell ref="E6:G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L5"/>
  <sheetViews>
    <sheetView workbookViewId="0">
      <selection activeCell="E3" sqref="E3:L5"/>
    </sheetView>
  </sheetViews>
  <sheetFormatPr baseColWidth="10" defaultRowHeight="15" x14ac:dyDescent="0.25"/>
  <sheetData>
    <row r="2" spans="5:12" ht="15.75" thickBot="1" x14ac:dyDescent="0.3"/>
    <row r="3" spans="5:12" x14ac:dyDescent="0.25">
      <c r="E3" s="734" t="s">
        <v>17</v>
      </c>
      <c r="F3" s="734" t="s">
        <v>18</v>
      </c>
      <c r="G3" s="734" t="s">
        <v>21</v>
      </c>
      <c r="H3" s="734" t="s">
        <v>102</v>
      </c>
      <c r="I3" s="734" t="s">
        <v>22</v>
      </c>
      <c r="J3" s="734" t="s">
        <v>351</v>
      </c>
      <c r="K3" s="734" t="s">
        <v>24</v>
      </c>
      <c r="L3" s="734" t="s">
        <v>214</v>
      </c>
    </row>
    <row r="4" spans="5:12" x14ac:dyDescent="0.25">
      <c r="E4" s="735"/>
      <c r="F4" s="735"/>
      <c r="G4" s="735"/>
      <c r="H4" s="735"/>
      <c r="I4" s="735"/>
      <c r="J4" s="735"/>
      <c r="K4" s="735"/>
      <c r="L4" s="735"/>
    </row>
    <row r="5" spans="5:12" ht="15.75" thickBot="1" x14ac:dyDescent="0.3">
      <c r="E5" s="736"/>
      <c r="F5" s="736"/>
      <c r="G5" s="736"/>
      <c r="H5" s="736"/>
      <c r="I5" s="736"/>
      <c r="J5" s="736"/>
      <c r="K5" s="736"/>
      <c r="L5" s="736"/>
    </row>
  </sheetData>
  <mergeCells count="8">
    <mergeCell ref="K3:K5"/>
    <mergeCell ref="L3:L5"/>
    <mergeCell ref="E3:E5"/>
    <mergeCell ref="F3:F5"/>
    <mergeCell ref="G3:G5"/>
    <mergeCell ref="H3:H5"/>
    <mergeCell ref="I3:I5"/>
    <mergeCell ref="J3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HATCT</vt:lpstr>
      <vt:lpstr>Fry</vt:lpstr>
      <vt:lpstr>smolt</vt:lpstr>
      <vt:lpstr>plan</vt:lpstr>
      <vt:lpstr>equipos ex</vt:lpstr>
      <vt:lpstr>control servicio</vt:lpstr>
      <vt:lpstr>luces fry</vt:lpstr>
      <vt:lpstr>Equipos </vt:lpstr>
      <vt:lpstr>alimentadores </vt:lpstr>
      <vt:lpstr>focos led</vt:lpstr>
      <vt:lpstr>Hoja1</vt:lpstr>
      <vt:lpstr>Hoja2</vt:lpstr>
      <vt:lpstr>Hoja3</vt:lpstr>
      <vt:lpstr>Hoja4</vt:lpstr>
      <vt:lpstr>Hoja5</vt:lpstr>
    </vt:vector>
  </TitlesOfParts>
  <Company>Salmones Humboldt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Gonzalez</dc:creator>
  <cp:lastModifiedBy>Usuario</cp:lastModifiedBy>
  <cp:lastPrinted>2015-02-11T13:23:16Z</cp:lastPrinted>
  <dcterms:created xsi:type="dcterms:W3CDTF">2010-01-22T13:56:38Z</dcterms:created>
  <dcterms:modified xsi:type="dcterms:W3CDTF">2016-12-22T20:46:14Z</dcterms:modified>
</cp:coreProperties>
</file>